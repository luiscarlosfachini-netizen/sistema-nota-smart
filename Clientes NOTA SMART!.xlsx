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uisfachini/Documents/DOCUMENTOS/"/>
    </mc:Choice>
  </mc:AlternateContent>
  <xr:revisionPtr revIDLastSave="0" documentId="13_ncr:1_{E7CBEFB1-2F16-454B-9C21-F5B969DED6E7}" xr6:coauthVersionLast="47" xr6:coauthVersionMax="47" xr10:uidLastSave="{00000000-0000-0000-0000-000000000000}"/>
  <bookViews>
    <workbookView xWindow="0" yWindow="500" windowWidth="33600" windowHeight="18800" activeTab="9" xr2:uid="{00000000-000D-0000-FFFF-FFFF00000000}"/>
  </bookViews>
  <sheets>
    <sheet name="10-25" sheetId="1" r:id="rId1"/>
    <sheet name="11-25" sheetId="3" r:id="rId2"/>
    <sheet name="12-25" sheetId="5" r:id="rId3"/>
    <sheet name="01-26" sheetId="7" r:id="rId4"/>
    <sheet name="02-26" sheetId="8" r:id="rId5"/>
    <sheet name="03-26" sheetId="9" r:id="rId6"/>
    <sheet name="04-26" sheetId="10" r:id="rId7"/>
    <sheet name="05-26" sheetId="11" r:id="rId8"/>
    <sheet name="06-26" sheetId="14" r:id="rId9"/>
    <sheet name="07-26 - ATUAL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6" l="1"/>
  <c r="K37" i="16"/>
  <c r="K36" i="16"/>
  <c r="K35" i="16"/>
  <c r="K34" i="16"/>
  <c r="K33" i="16"/>
  <c r="K32" i="16"/>
  <c r="O11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9" i="16"/>
  <c r="O8" i="16"/>
  <c r="O7" i="16"/>
  <c r="O6" i="16"/>
  <c r="O5" i="16"/>
  <c r="O4" i="16"/>
  <c r="O3" i="16"/>
  <c r="O29" i="14"/>
  <c r="N31" i="14" s="1"/>
  <c r="K33" i="14"/>
  <c r="K34" i="14"/>
  <c r="K35" i="14"/>
  <c r="K36" i="14"/>
  <c r="K37" i="14"/>
  <c r="K32" i="14"/>
  <c r="O9" i="14"/>
  <c r="O8" i="14"/>
  <c r="O7" i="14"/>
  <c r="O6" i="14"/>
  <c r="O5" i="14"/>
  <c r="O4" i="14"/>
  <c r="O24" i="14"/>
  <c r="O23" i="14"/>
  <c r="O28" i="11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5" i="14"/>
  <c r="O26" i="14"/>
  <c r="O27" i="14"/>
  <c r="O28" i="14"/>
  <c r="L32" i="3"/>
  <c r="L33" i="3"/>
  <c r="J45" i="3"/>
  <c r="K45" i="3"/>
  <c r="L45" i="3"/>
  <c r="L28" i="1"/>
  <c r="L29" i="1"/>
  <c r="L41" i="1" s="1"/>
  <c r="L30" i="1"/>
  <c r="L31" i="1"/>
  <c r="L32" i="1"/>
  <c r="L33" i="1"/>
  <c r="J41" i="1"/>
  <c r="K41" i="1"/>
  <c r="L32" i="11"/>
  <c r="K32" i="11"/>
  <c r="M26" i="11"/>
  <c r="M24" i="11"/>
  <c r="M23" i="11"/>
  <c r="M22" i="11"/>
  <c r="M21" i="11"/>
  <c r="M18" i="11"/>
  <c r="M19" i="11"/>
  <c r="M17" i="11"/>
  <c r="M16" i="11"/>
  <c r="M15" i="11"/>
  <c r="M14" i="11"/>
  <c r="M13" i="11"/>
  <c r="M12" i="11"/>
  <c r="M11" i="11"/>
  <c r="M10" i="11"/>
  <c r="M9" i="11"/>
  <c r="M8" i="11"/>
  <c r="M6" i="11"/>
  <c r="M5" i="11"/>
  <c r="M4" i="11"/>
  <c r="M3" i="11"/>
  <c r="L34" i="10"/>
  <c r="K34" i="10"/>
  <c r="M28" i="10"/>
  <c r="M26" i="10"/>
  <c r="M25" i="10"/>
  <c r="M24" i="10"/>
  <c r="M23" i="10"/>
  <c r="M22" i="10"/>
  <c r="M21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6" i="10"/>
  <c r="M5" i="10"/>
  <c r="M4" i="10"/>
  <c r="M3" i="10"/>
  <c r="M21" i="9"/>
  <c r="M22" i="9"/>
  <c r="M23" i="9"/>
  <c r="M24" i="9"/>
  <c r="M25" i="9"/>
  <c r="M26" i="9"/>
  <c r="M27" i="9"/>
  <c r="M14" i="9"/>
  <c r="M13" i="9"/>
  <c r="L35" i="9"/>
  <c r="K35" i="9"/>
  <c r="M29" i="9"/>
  <c r="M19" i="9"/>
  <c r="M18" i="9"/>
  <c r="M17" i="9"/>
  <c r="M16" i="9"/>
  <c r="M15" i="9"/>
  <c r="M12" i="9"/>
  <c r="M11" i="9"/>
  <c r="M10" i="9"/>
  <c r="M9" i="9"/>
  <c r="M8" i="9"/>
  <c r="M6" i="9"/>
  <c r="M5" i="9"/>
  <c r="M4" i="9"/>
  <c r="M3" i="9"/>
  <c r="M28" i="8"/>
  <c r="L34" i="8"/>
  <c r="K34" i="8"/>
  <c r="M10" i="8"/>
  <c r="M9" i="8"/>
  <c r="M8" i="8"/>
  <c r="M26" i="8"/>
  <c r="M25" i="8"/>
  <c r="M24" i="8"/>
  <c r="M23" i="8"/>
  <c r="M22" i="8"/>
  <c r="M21" i="8"/>
  <c r="M20" i="8"/>
  <c r="M18" i="8"/>
  <c r="M17" i="8"/>
  <c r="M16" i="8"/>
  <c r="M15" i="8"/>
  <c r="M14" i="8"/>
  <c r="M13" i="8"/>
  <c r="M12" i="8"/>
  <c r="M11" i="8"/>
  <c r="M6" i="8"/>
  <c r="M5" i="8"/>
  <c r="M4" i="8"/>
  <c r="M3" i="8"/>
  <c r="M26" i="7"/>
  <c r="M13" i="7"/>
  <c r="M12" i="7"/>
  <c r="M11" i="7"/>
  <c r="M25" i="7"/>
  <c r="M22" i="7"/>
  <c r="L37" i="7"/>
  <c r="K37" i="7"/>
  <c r="M34" i="7"/>
  <c r="M33" i="7"/>
  <c r="M32" i="7"/>
  <c r="M21" i="7"/>
  <c r="M20" i="7"/>
  <c r="M19" i="7"/>
  <c r="M18" i="7"/>
  <c r="M17" i="7"/>
  <c r="M16" i="7"/>
  <c r="M24" i="7"/>
  <c r="M15" i="7"/>
  <c r="M14" i="7"/>
  <c r="M10" i="7"/>
  <c r="M31" i="7"/>
  <c r="M9" i="7"/>
  <c r="M8" i="7"/>
  <c r="M30" i="7"/>
  <c r="M29" i="7"/>
  <c r="M6" i="7"/>
  <c r="M5" i="7"/>
  <c r="M4" i="7"/>
  <c r="M3" i="7"/>
  <c r="M17" i="5"/>
  <c r="L28" i="5"/>
  <c r="K28" i="5"/>
  <c r="M7" i="5"/>
  <c r="M25" i="5"/>
  <c r="M24" i="5"/>
  <c r="M8" i="5"/>
  <c r="M23" i="5"/>
  <c r="M15" i="5"/>
  <c r="M21" i="5"/>
  <c r="M20" i="5"/>
  <c r="M19" i="5"/>
  <c r="M18" i="5"/>
  <c r="M16" i="5"/>
  <c r="M14" i="5"/>
  <c r="M13" i="5"/>
  <c r="M12" i="5"/>
  <c r="M11" i="5"/>
  <c r="M10" i="5"/>
  <c r="M9" i="5"/>
  <c r="M6" i="5"/>
  <c r="M5" i="5"/>
  <c r="M4" i="5"/>
  <c r="M3" i="5"/>
  <c r="L27" i="3"/>
  <c r="K27" i="3"/>
  <c r="M25" i="3"/>
  <c r="M24" i="3"/>
  <c r="M23" i="3"/>
  <c r="M22" i="3"/>
  <c r="M21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K25" i="1"/>
  <c r="J25" i="1"/>
  <c r="L23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25" i="1" s="1"/>
  <c r="L7" i="1"/>
  <c r="L6" i="1"/>
  <c r="L5" i="1"/>
  <c r="L4" i="1"/>
  <c r="L3" i="1"/>
  <c r="N31" i="16" l="1"/>
  <c r="K39" i="16"/>
  <c r="K39" i="14"/>
  <c r="O3" i="14"/>
  <c r="M32" i="11"/>
  <c r="M34" i="10"/>
  <c r="M35" i="9"/>
  <c r="M34" i="8"/>
  <c r="M27" i="3"/>
  <c r="M37" i="7"/>
  <c r="M28" i="5"/>
</calcChain>
</file>

<file path=xl/sharedStrings.xml><?xml version="1.0" encoding="utf-8"?>
<sst xmlns="http://schemas.openxmlformats.org/spreadsheetml/2006/main" count="2107" uniqueCount="252">
  <si>
    <t>CNPJ</t>
  </si>
  <si>
    <t>E-MAIL</t>
  </si>
  <si>
    <t>TELEFONE</t>
  </si>
  <si>
    <t>EMPRESA</t>
  </si>
  <si>
    <t>MÓDULOS</t>
  </si>
  <si>
    <t>CLIENTE</t>
  </si>
  <si>
    <t>VENCIMENTO</t>
  </si>
  <si>
    <t>STATUS</t>
  </si>
  <si>
    <t>VALOR</t>
  </si>
  <si>
    <t>CUSTO</t>
  </si>
  <si>
    <t>LIVRE</t>
  </si>
  <si>
    <t>01.590.481/0001-03</t>
  </si>
  <si>
    <t>chamonyadm@gmail.com</t>
  </si>
  <si>
    <t>(11) 99121-9082</t>
  </si>
  <si>
    <t>CHAMONY SERVIÇOS DE ALIMENTAÇÃO LTDA</t>
  </si>
  <si>
    <t>NFE</t>
  </si>
  <si>
    <t>MOZART</t>
  </si>
  <si>
    <t>PAGO</t>
  </si>
  <si>
    <t>44.196.272/0001-84</t>
  </si>
  <si>
    <t>dragonvedacoes@gmail.com</t>
  </si>
  <si>
    <t>(11) 97820-2639</t>
  </si>
  <si>
    <t>DRAGON VEDAÇÕES</t>
  </si>
  <si>
    <t>ILSON</t>
  </si>
  <si>
    <t>DIA 10</t>
  </si>
  <si>
    <t>27.414.330/0001-80</t>
  </si>
  <si>
    <t>wilsonvedabrasil@outlook.com</t>
  </si>
  <si>
    <t>VEDA BRASIL E COMERCIO DE VEDACOES</t>
  </si>
  <si>
    <t>48.375.457/0001-07</t>
  </si>
  <si>
    <t>agenciadecargasoeste@gmail.com</t>
  </si>
  <si>
    <t>(77) 9846-7502</t>
  </si>
  <si>
    <t>OESTE TRANSPORTE E COMERCIO LTDA</t>
  </si>
  <si>
    <t>NFE, CTE, MDFE</t>
  </si>
  <si>
    <t>AILTON</t>
  </si>
  <si>
    <t>07.907.526/0001-07</t>
  </si>
  <si>
    <t>financeiro.sanvel@terra.com.br</t>
  </si>
  <si>
    <t>(11) 99181-7204</t>
  </si>
  <si>
    <t>SANVEL GUINCHOS LTDA</t>
  </si>
  <si>
    <t>CTE - MDFE</t>
  </si>
  <si>
    <t>GISLENE</t>
  </si>
  <si>
    <t>09.589017/0001-09</t>
  </si>
  <si>
    <t>maluoptical@hotmail.com</t>
  </si>
  <si>
    <t>(11) 94272-5773</t>
  </si>
  <si>
    <t>MALU OPTICAL LTDA</t>
  </si>
  <si>
    <t>NFE - NFCE</t>
  </si>
  <si>
    <t>SANDRA</t>
  </si>
  <si>
    <t>12.591.057/0001-91</t>
  </si>
  <si>
    <t>brickssinalizacao@gmail.com</t>
  </si>
  <si>
    <t>(11) 99635-9807</t>
  </si>
  <si>
    <t>BRICKS SINALIZAÇÃO LTDA</t>
  </si>
  <si>
    <t>LUIZ MARINHO</t>
  </si>
  <si>
    <t>29.346.488/0001-95</t>
  </si>
  <si>
    <t>borrachamateriais2021@gmail.com</t>
  </si>
  <si>
    <t>(11) 97216-9931</t>
  </si>
  <si>
    <t>ANTONIO TAVARES ROMAO</t>
  </si>
  <si>
    <t>FRANCISCO</t>
  </si>
  <si>
    <t>53.178.728/0001-19</t>
  </si>
  <si>
    <t>pivessoconf@uol.com.br</t>
  </si>
  <si>
    <t>(11) 91746-0908</t>
  </si>
  <si>
    <t>MARCIA REGINA TORRICO VALLI</t>
  </si>
  <si>
    <t>MARCIA</t>
  </si>
  <si>
    <t>21.715.876/0001-94</t>
  </si>
  <si>
    <t>victorsnascimento11@gmail.com</t>
  </si>
  <si>
    <t>(21) 99812-8545</t>
  </si>
  <si>
    <t>OTICA PIERRY LTDA</t>
  </si>
  <si>
    <t>NFE E NFCE</t>
  </si>
  <si>
    <t>VICTOR</t>
  </si>
  <si>
    <t>DIA 20</t>
  </si>
  <si>
    <t>20.879.371/0001-00</t>
  </si>
  <si>
    <t>atendimento@lagunaexpress.com.br</t>
  </si>
  <si>
    <t>(11) 94174-8007</t>
  </si>
  <si>
    <t>LAGUNA  EXPRESS BRASIL ME</t>
  </si>
  <si>
    <t>CTE E MDFE</t>
  </si>
  <si>
    <t>ABELARDO</t>
  </si>
  <si>
    <t>31.054.276/0001-86</t>
  </si>
  <si>
    <t>wagner_fernandes37@hotmail.com</t>
  </si>
  <si>
    <t>(16) 99260-8134</t>
  </si>
  <si>
    <t>WAGNER FERNANDES DOS SANTOS</t>
  </si>
  <si>
    <t>CTE</t>
  </si>
  <si>
    <t>POLIANA</t>
  </si>
  <si>
    <t>54.409.381/0001-96</t>
  </si>
  <si>
    <t>dreamcraftdesignmoveis@gmai.com</t>
  </si>
  <si>
    <t>(11) 95233-3533</t>
  </si>
  <si>
    <t>ANDREY DIEGO MARINHO TAVARES</t>
  </si>
  <si>
    <t>ASHLEY</t>
  </si>
  <si>
    <t>62.975.368/0001-22</t>
  </si>
  <si>
    <t>chefprimecomercio@yahoo.com</t>
  </si>
  <si>
    <t>(35) 9139-7589</t>
  </si>
  <si>
    <t>TIAGO JOSE RODRIGUES JUNIOR</t>
  </si>
  <si>
    <t>TIAGO</t>
  </si>
  <si>
    <t>55.064.274/0001-36</t>
  </si>
  <si>
    <t>emporiodospuffs1@gmail.com</t>
  </si>
  <si>
    <t>(11) 98769-4041</t>
  </si>
  <si>
    <t>CV FABRICA DE MOVEIS E ARTEFATOS DE MADEIRAS</t>
  </si>
  <si>
    <t>CLAUDETE</t>
  </si>
  <si>
    <t>06.251.632/0001-04</t>
  </si>
  <si>
    <t>administracao@nonnapasqua.com.br</t>
  </si>
  <si>
    <t>(62) 8444-5671</t>
  </si>
  <si>
    <t>NONNA PASQUA INDUSTRIA DE ALIMENTOS</t>
  </si>
  <si>
    <t>GENARO</t>
  </si>
  <si>
    <t>48.728.207/0001-03</t>
  </si>
  <si>
    <t>MEDITERRANEO E CERRADO ALIMENTOS LTDA</t>
  </si>
  <si>
    <t>24.192.449/0001-67</t>
  </si>
  <si>
    <t>bruna.fenixatendimento@gmail.com</t>
  </si>
  <si>
    <t>(12) 99791-5275</t>
  </si>
  <si>
    <t>RAIMUNDA VAULENE MACIEL ALVES RABELO</t>
  </si>
  <si>
    <t>SANDRA REV</t>
  </si>
  <si>
    <t>55.017.696/0001-50</t>
  </si>
  <si>
    <t>SILVA PONTO DA ESFIHA E LANCHONETE</t>
  </si>
  <si>
    <t>37.306.134/0001-45</t>
  </si>
  <si>
    <t>claudioito@hotmail.com</t>
  </si>
  <si>
    <t>(17) 98800-4436</t>
  </si>
  <si>
    <t>LUIS CLAUDIO ITO LTDA</t>
  </si>
  <si>
    <t>LUIS CLAUDIO</t>
  </si>
  <si>
    <t>CANCELADO</t>
  </si>
  <si>
    <t>TIPO</t>
  </si>
  <si>
    <t>362.862.388-08</t>
  </si>
  <si>
    <t>E-CPF</t>
  </si>
  <si>
    <t>pliniosantoscerqueira1@gmail.com</t>
  </si>
  <si>
    <t>(11) 99403-5247</t>
  </si>
  <si>
    <t>PLINIO SANTOS CERQUEIRA</t>
  </si>
  <si>
    <t>PLINIO</t>
  </si>
  <si>
    <t>E-CNPJ</t>
  </si>
  <si>
    <t>BONIFICADO</t>
  </si>
  <si>
    <t>44.206.383/0001-24</t>
  </si>
  <si>
    <t>fenixmrscontabil@gmail.com</t>
  </si>
  <si>
    <t>(11) 94029-1388</t>
  </si>
  <si>
    <t>ALEXANDRE AP ANGELO</t>
  </si>
  <si>
    <t>ALEXANDRE</t>
  </si>
  <si>
    <t>(62) 84445-671</t>
  </si>
  <si>
    <t>14.288.515/0001-43</t>
  </si>
  <si>
    <t>eocopiadora@hotmail.com</t>
  </si>
  <si>
    <t>(21) 96422-6929</t>
  </si>
  <si>
    <t>P C DA SILVA COMERCIO E SERVICO</t>
  </si>
  <si>
    <t>GEOVANI</t>
  </si>
  <si>
    <t>63.275.562/0001-68</t>
  </si>
  <si>
    <t>cbmazzon@terra.com.br</t>
  </si>
  <si>
    <t>(11) 98456-8032</t>
  </si>
  <si>
    <t>GUILHERME</t>
  </si>
  <si>
    <t>39.955.022/0001-40</t>
  </si>
  <si>
    <t>E-CNPJ - PRESE.</t>
  </si>
  <si>
    <t>silviofelismino18@gmail.com</t>
  </si>
  <si>
    <t>(11) 98485-8527</t>
  </si>
  <si>
    <t>J.W. CONTRUÇÕES E REFORMAS LTDA</t>
  </si>
  <si>
    <t>JAQUELINE</t>
  </si>
  <si>
    <t>DIA 01</t>
  </si>
  <si>
    <t>OTICA PIERRY LTDA BANGU</t>
  </si>
  <si>
    <t>32.376.694/0001-52</t>
  </si>
  <si>
    <t>PATRICIA APARECIDA MAIA</t>
  </si>
  <si>
    <t>PATRICIA</t>
  </si>
  <si>
    <t>42.055.575/0001-51</t>
  </si>
  <si>
    <t>PRINT PHOTOS POTY LTDA</t>
  </si>
  <si>
    <t>02.910.783-0001-76</t>
  </si>
  <si>
    <t>AGROPET SHOPP PRODUTOS AGROPECUARIOS</t>
  </si>
  <si>
    <t>29.071.867/0001-10</t>
  </si>
  <si>
    <t>26.996.390/0001-95</t>
  </si>
  <si>
    <t>HOTEL BERTHEL LTDA</t>
  </si>
  <si>
    <t>HOTEL BERTHEL INN LTDA</t>
  </si>
  <si>
    <t>63.927.177/0001-58</t>
  </si>
  <si>
    <t>R.P.M OTICA LTDA</t>
  </si>
  <si>
    <t>ROBERTA</t>
  </si>
  <si>
    <t>CIA DOS ANIMAIS SEI LA</t>
  </si>
  <si>
    <t>ENVIADO</t>
  </si>
  <si>
    <t>PENDENTE</t>
  </si>
  <si>
    <t>TRANSPORTADORA OESTE</t>
  </si>
  <si>
    <t>NFe, MDFe</t>
  </si>
  <si>
    <t>J. ILSON GOMES VEDACOES</t>
  </si>
  <si>
    <t>CERTIFICADO</t>
  </si>
  <si>
    <t>NFe</t>
  </si>
  <si>
    <t>PAULO CESAR</t>
  </si>
  <si>
    <t>(21) 98812-1837</t>
  </si>
  <si>
    <t>RONALDO</t>
  </si>
  <si>
    <t>(21) 97910-9591</t>
  </si>
  <si>
    <t>foto.poty.ltda@gmail.com</t>
  </si>
  <si>
    <t>diogobmaguiar31@gmail.com</t>
  </si>
  <si>
    <t>COMERCIO VAREJISTA DE ANIMAIS F C LTDA</t>
  </si>
  <si>
    <t>10.582.574/0001-79</t>
  </si>
  <si>
    <t>cristianoazevedo243@gmail.com</t>
  </si>
  <si>
    <t>(21) 96432-0793</t>
  </si>
  <si>
    <t>NFe, NFCe</t>
  </si>
  <si>
    <t>CRISTIANO</t>
  </si>
  <si>
    <t>57.592.363/0001-80</t>
  </si>
  <si>
    <t>NFCe</t>
  </si>
  <si>
    <t>oticamalu2017@gmail.com</t>
  </si>
  <si>
    <t>contato@hotelbertell.com.br</t>
  </si>
  <si>
    <t>contato@hotelbertellinn.com.br</t>
  </si>
  <si>
    <t>(12) 98189-1827</t>
  </si>
  <si>
    <t>HOTEL BERTHEL</t>
  </si>
  <si>
    <t>ALENIR</t>
  </si>
  <si>
    <t>(11) 97028-0114</t>
  </si>
  <si>
    <t>marsmecanica@uol.com.br</t>
  </si>
  <si>
    <t>30.561.469/0001-60</t>
  </si>
  <si>
    <t>MAR'S MRO DISTRIBUIDORA LTDA</t>
  </si>
  <si>
    <t>44.870.651/0001-08</t>
  </si>
  <si>
    <t>não coloquei e-mail (cliente particular)</t>
  </si>
  <si>
    <t>(11) 94721-1057</t>
  </si>
  <si>
    <t>PAULO CESAR ALVANI CAVALCANTI</t>
  </si>
  <si>
    <t>CTe</t>
  </si>
  <si>
    <t>CTe, MDFe</t>
  </si>
  <si>
    <t>DIA 15</t>
  </si>
  <si>
    <t>ONLINE CERTIFICADORA</t>
  </si>
  <si>
    <t xml:space="preserve">REVENDA FISCAL </t>
  </si>
  <si>
    <t>EGESTOR</t>
  </si>
  <si>
    <t>SISTEMA</t>
  </si>
  <si>
    <t>REVENDA FISCAL</t>
  </si>
  <si>
    <t>08.002.832/0001-59</t>
  </si>
  <si>
    <t>flaviomfs@hotmail.com</t>
  </si>
  <si>
    <t>(16) 99768-6662</t>
  </si>
  <si>
    <t>GRANPALM - COMERCIO DE ESPECIARIAS LTDA</t>
  </si>
  <si>
    <t>ERP</t>
  </si>
  <si>
    <t>FLAVIO</t>
  </si>
  <si>
    <t>01.937.400/0001-90</t>
  </si>
  <si>
    <t>celsohfs@hotmail.com</t>
  </si>
  <si>
    <t>GRANDE RIO COMERCIAL RIO PRETO LTDA</t>
  </si>
  <si>
    <t>CELSO</t>
  </si>
  <si>
    <t>(17) 99774-6009</t>
  </si>
  <si>
    <t>NÃO ENVIADO</t>
  </si>
  <si>
    <t>allservice@allserviceindustrial.com.br</t>
  </si>
  <si>
    <t>PAG ANUAL</t>
  </si>
  <si>
    <t>PAG ANUAL - 299,00 P/M</t>
  </si>
  <si>
    <t>PAG ANUAL - 598,00 P/A</t>
  </si>
  <si>
    <t>NÃO ESTÁ ATIVA</t>
  </si>
  <si>
    <t>TIPO CERTIFICADO</t>
  </si>
  <si>
    <t>E-CNPJ A1</t>
  </si>
  <si>
    <t>DATA</t>
  </si>
  <si>
    <t>HORA</t>
  </si>
  <si>
    <t>(31) 99314-9442</t>
  </si>
  <si>
    <t>15.828.887/0001-88</t>
  </si>
  <si>
    <t>cancelado</t>
  </si>
  <si>
    <t>32.968.814/0001-00</t>
  </si>
  <si>
    <t>NEW SPLIT SOLUCOES EM REFRIGERACAO E ELETRICA LTDA</t>
  </si>
  <si>
    <t>geovanicontabilidade@bol.com.br</t>
  </si>
  <si>
    <t>ROGER</t>
  </si>
  <si>
    <t>(21) 96417-5410</t>
  </si>
  <si>
    <t>(11) 97296-0284</t>
  </si>
  <si>
    <t>HELOISA</t>
  </si>
  <si>
    <t>PRISCILA</t>
  </si>
  <si>
    <t>48.067.509/0001-88</t>
  </si>
  <si>
    <t>priscilacar6@gmail.com</t>
  </si>
  <si>
    <t>(77) 8845-6039</t>
  </si>
  <si>
    <t>PRISCILA JESUS DOS SANTOS</t>
  </si>
  <si>
    <t>TESTANDO</t>
  </si>
  <si>
    <t xml:space="preserve">FEITO </t>
  </si>
  <si>
    <t>cpf</t>
  </si>
  <si>
    <t>fausto silva</t>
  </si>
  <si>
    <t xml:space="preserve">luana pereira safadinha </t>
  </si>
  <si>
    <t>35.140.296/0001-20</t>
  </si>
  <si>
    <t>petshopconvec@hotmail.com</t>
  </si>
  <si>
    <t>(31) 9158 - 8712</t>
  </si>
  <si>
    <t>EMILIO HIDENORE DO CARMO NAKAGAVA</t>
  </si>
  <si>
    <t>NFe, NFSe</t>
  </si>
  <si>
    <t>EMILIO</t>
  </si>
  <si>
    <t>DIA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</si>
</sst>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R$]#,##0.00"/>
  </numFmts>
  <fonts count="12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9"/>
      <color theme="1"/>
      <name val="Arial"/>
      <family val="2"/>
      <scheme val="minor"/>
    </font>
    <font>
      <sz val="10"/>
      <color theme="0"/>
      <name val="Calibri"/>
      <family val="2"/>
    </font>
    <font>
      <sz val="12"/>
      <color theme="0"/>
      <name val="Arial"/>
      <family val="2"/>
      <scheme val="minor"/>
    </font>
    <font>
      <sz val="10"/>
      <color rgb="FFFF0000"/>
      <name val="Calibri"/>
      <family val="2"/>
    </font>
    <font>
      <sz val="10"/>
      <color theme="0"/>
      <name val="Arial"/>
      <family val="2"/>
      <scheme val="minor"/>
    </font>
    <font>
      <sz val="18"/>
      <color theme="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2D050"/>
      </patternFill>
    </fill>
    <fill>
      <patternFill patternType="solid">
        <fgColor rgb="FFFF0000"/>
        <bgColor rgb="FF92D050"/>
      </patternFill>
    </fill>
    <fill>
      <patternFill patternType="solid">
        <fgColor rgb="FF00B050"/>
        <bgColor rgb="FF92D050"/>
      </patternFill>
    </fill>
    <fill>
      <patternFill patternType="solid">
        <fgColor rgb="FF00FF35"/>
        <bgColor indexed="64"/>
      </patternFill>
    </fill>
    <fill>
      <patternFill patternType="solid">
        <fgColor rgb="FF00FF35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3" tint="0.14999847407452621"/>
        <bgColor rgb="FFFFFFFF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4.9989318521683403E-2"/>
        <bgColor rgb="FFFFFFFF"/>
      </patternFill>
    </fill>
    <fill>
      <patternFill patternType="solid">
        <fgColor theme="3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164" fontId="3" fillId="0" borderId="4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1" xfId="0" applyNumberFormat="1" applyFont="1" applyBorder="1"/>
    <xf numFmtId="165" fontId="3" fillId="0" borderId="4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3" fillId="2" borderId="12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14" fontId="3" fillId="9" borderId="6" xfId="0" applyNumberFormat="1" applyFont="1" applyFill="1" applyBorder="1" applyAlignment="1">
      <alignment horizontal="center" vertical="center"/>
    </xf>
    <xf numFmtId="165" fontId="3" fillId="10" borderId="6" xfId="0" applyNumberFormat="1" applyFont="1" applyFill="1" applyBorder="1" applyAlignment="1">
      <alignment horizontal="center" vertical="center"/>
    </xf>
    <xf numFmtId="165" fontId="3" fillId="10" borderId="7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0" fillId="11" borderId="0" xfId="0" applyFill="1"/>
    <xf numFmtId="0" fontId="2" fillId="12" borderId="1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164" fontId="7" fillId="13" borderId="4" xfId="0" applyNumberFormat="1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/>
    </xf>
    <xf numFmtId="164" fontId="7" fillId="14" borderId="4" xfId="0" applyNumberFormat="1" applyFont="1" applyFill="1" applyBorder="1" applyAlignment="1">
      <alignment horizontal="center" vertical="center"/>
    </xf>
    <xf numFmtId="14" fontId="7" fillId="14" borderId="4" xfId="0" applyNumberFormat="1" applyFont="1" applyFill="1" applyBorder="1" applyAlignment="1">
      <alignment horizontal="center" vertical="center"/>
    </xf>
    <xf numFmtId="165" fontId="7" fillId="13" borderId="4" xfId="0" applyNumberFormat="1" applyFont="1" applyFill="1" applyBorder="1" applyAlignment="1">
      <alignment horizontal="center" vertical="center"/>
    </xf>
    <xf numFmtId="14" fontId="9" fillId="13" borderId="4" xfId="0" applyNumberFormat="1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14" fontId="7" fillId="14" borderId="6" xfId="0" applyNumberFormat="1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165" fontId="7" fillId="13" borderId="6" xfId="0" applyNumberFormat="1" applyFont="1" applyFill="1" applyBorder="1" applyAlignment="1">
      <alignment horizontal="center" vertical="center"/>
    </xf>
    <xf numFmtId="165" fontId="7" fillId="13" borderId="7" xfId="0" applyNumberFormat="1" applyFont="1" applyFill="1" applyBorder="1" applyAlignment="1">
      <alignment horizontal="center" vertical="center"/>
    </xf>
    <xf numFmtId="165" fontId="7" fillId="13" borderId="9" xfId="0" applyNumberFormat="1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/>
    </xf>
    <xf numFmtId="0" fontId="7" fillId="14" borderId="0" xfId="0" applyFont="1" applyFill="1" applyAlignment="1">
      <alignment horizontal="center" vertical="center"/>
    </xf>
    <xf numFmtId="20" fontId="7" fillId="14" borderId="4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5" borderId="8" xfId="0" applyFont="1" applyFill="1" applyBorder="1" applyAlignment="1">
      <alignment horizontal="center"/>
    </xf>
    <xf numFmtId="164" fontId="7" fillId="16" borderId="4" xfId="0" applyNumberFormat="1" applyFont="1" applyFill="1" applyBorder="1" applyAlignment="1">
      <alignment horizontal="center" vertical="center"/>
    </xf>
    <xf numFmtId="14" fontId="7" fillId="16" borderId="4" xfId="0" applyNumberFormat="1" applyFont="1" applyFill="1" applyBorder="1" applyAlignment="1">
      <alignment horizontal="center" vertical="center"/>
    </xf>
    <xf numFmtId="14" fontId="9" fillId="15" borderId="4" xfId="0" applyNumberFormat="1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14" fontId="9" fillId="16" borderId="6" xfId="0" applyNumberFormat="1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14" fontId="7" fillId="16" borderId="6" xfId="0" applyNumberFormat="1" applyFont="1" applyFill="1" applyBorder="1" applyAlignment="1">
      <alignment horizontal="center" vertical="center"/>
    </xf>
    <xf numFmtId="14" fontId="7" fillId="16" borderId="11" xfId="0" applyNumberFormat="1" applyFont="1" applyFill="1" applyBorder="1" applyAlignment="1">
      <alignment horizontal="center" vertical="center"/>
    </xf>
    <xf numFmtId="14" fontId="9" fillId="16" borderId="4" xfId="0" applyNumberFormat="1" applyFont="1" applyFill="1" applyBorder="1" applyAlignment="1">
      <alignment horizontal="center" vertical="center"/>
    </xf>
    <xf numFmtId="165" fontId="7" fillId="15" borderId="4" xfId="0" applyNumberFormat="1" applyFont="1" applyFill="1" applyBorder="1" applyAlignment="1">
      <alignment horizontal="center" vertical="center"/>
    </xf>
    <xf numFmtId="165" fontId="7" fillId="15" borderId="6" xfId="0" applyNumberFormat="1" applyFont="1" applyFill="1" applyBorder="1" applyAlignment="1">
      <alignment horizontal="center" vertical="center"/>
    </xf>
    <xf numFmtId="165" fontId="7" fillId="15" borderId="7" xfId="0" applyNumberFormat="1" applyFont="1" applyFill="1" applyBorder="1" applyAlignment="1">
      <alignment horizontal="center" vertical="center"/>
    </xf>
    <xf numFmtId="165" fontId="7" fillId="15" borderId="9" xfId="0" applyNumberFormat="1" applyFont="1" applyFill="1" applyBorder="1" applyAlignment="1">
      <alignment horizontal="center" vertical="center"/>
    </xf>
    <xf numFmtId="165" fontId="7" fillId="15" borderId="11" xfId="0" applyNumberFormat="1" applyFont="1" applyFill="1" applyBorder="1" applyAlignment="1">
      <alignment horizontal="center" vertical="center"/>
    </xf>
    <xf numFmtId="165" fontId="7" fillId="15" borderId="12" xfId="0" applyNumberFormat="1" applyFont="1" applyFill="1" applyBorder="1" applyAlignment="1">
      <alignment horizontal="center" vertical="center"/>
    </xf>
    <xf numFmtId="0" fontId="0" fillId="17" borderId="0" xfId="0" applyFill="1"/>
    <xf numFmtId="0" fontId="7" fillId="17" borderId="16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10" fillId="16" borderId="0" xfId="0" applyFont="1" applyFill="1"/>
    <xf numFmtId="20" fontId="7" fillId="16" borderId="4" xfId="0" applyNumberFormat="1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16" fontId="7" fillId="16" borderId="14" xfId="0" applyNumberFormat="1" applyFont="1" applyFill="1" applyBorder="1" applyAlignment="1">
      <alignment horizontal="center" vertical="center"/>
    </xf>
    <xf numFmtId="0" fontId="7" fillId="11" borderId="0" xfId="0" applyFont="1" applyFill="1"/>
    <xf numFmtId="0" fontId="10" fillId="11" borderId="0" xfId="0" applyFont="1" applyFill="1"/>
    <xf numFmtId="165" fontId="7" fillId="15" borderId="15" xfId="0" applyNumberFormat="1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16" fontId="7" fillId="19" borderId="14" xfId="0" applyNumberFormat="1" applyFont="1" applyFill="1" applyBorder="1" applyAlignment="1">
      <alignment horizontal="center" vertical="center"/>
    </xf>
    <xf numFmtId="165" fontId="7" fillId="18" borderId="15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11" fillId="19" borderId="0" xfId="0" applyNumberFormat="1" applyFont="1" applyFill="1" applyAlignment="1">
      <alignment horizontal="center" vertical="center"/>
    </xf>
    <xf numFmtId="165" fontId="8" fillId="19" borderId="0" xfId="0" applyNumberFormat="1" applyFont="1" applyFill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/>
    </xf>
    <xf numFmtId="0" fontId="7" fillId="20" borderId="4" xfId="0" applyFont="1" applyFill="1" applyBorder="1" applyAlignment="1">
      <alignment horizontal="center" vertical="center"/>
    </xf>
    <xf numFmtId="0" fontId="7" fillId="21" borderId="18" xfId="0" applyFont="1" applyFill="1" applyBorder="1" applyAlignment="1">
      <alignment horizontal="center" vertical="center"/>
    </xf>
    <xf numFmtId="14" fontId="7" fillId="20" borderId="17" xfId="0" applyNumberFormat="1" applyFont="1" applyFill="1" applyBorder="1" applyAlignment="1">
      <alignment horizontal="center" vertical="center"/>
    </xf>
    <xf numFmtId="14" fontId="7" fillId="15" borderId="4" xfId="0" applyNumberFormat="1" applyFont="1" applyFill="1" applyBorder="1" applyAlignment="1">
      <alignment horizontal="center" vertical="center"/>
    </xf>
    <xf numFmtId="14" fontId="7" fillId="1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showGridLines="0" zoomScale="150" zoomScaleNormal="150" workbookViewId="0">
      <selection activeCell="C29" sqref="C29"/>
    </sheetView>
  </sheetViews>
  <sheetFormatPr baseColWidth="10" defaultColWidth="12.6640625" defaultRowHeight="15.75" customHeight="1" x14ac:dyDescent="0.15"/>
  <cols>
    <col min="1" max="1" width="4.1640625" customWidth="1"/>
    <col min="2" max="2" width="16.1640625" customWidth="1"/>
    <col min="3" max="3" width="26" customWidth="1"/>
    <col min="4" max="4" width="12.1640625" customWidth="1"/>
    <col min="5" max="5" width="36" customWidth="1"/>
    <col min="6" max="6" width="11.6640625" customWidth="1"/>
    <col min="7" max="7" width="11.1640625" customWidth="1"/>
    <col min="8" max="8" width="14.1640625" customWidth="1"/>
    <col min="9" max="9" width="10.5" customWidth="1"/>
    <col min="10" max="10" width="8.6640625" customWidth="1"/>
    <col min="11" max="11" width="8.83203125" customWidth="1"/>
    <col min="12" max="12" width="8.6640625" customWidth="1"/>
    <col min="13" max="13" width="1.6640625" customWidth="1"/>
  </cols>
  <sheetData>
    <row r="1" spans="1:28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" x14ac:dyDescent="0.15">
      <c r="A2" s="2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" x14ac:dyDescent="0.15">
      <c r="A3" s="1">
        <v>1</v>
      </c>
      <c r="B3" s="6" t="s">
        <v>11</v>
      </c>
      <c r="C3" s="7" t="s">
        <v>12</v>
      </c>
      <c r="D3" s="7" t="s">
        <v>13</v>
      </c>
      <c r="E3" s="8" t="s">
        <v>14</v>
      </c>
      <c r="F3" s="8" t="s">
        <v>15</v>
      </c>
      <c r="G3" s="8" t="s">
        <v>16</v>
      </c>
      <c r="H3" s="9">
        <v>46315</v>
      </c>
      <c r="I3" s="10" t="s">
        <v>17</v>
      </c>
      <c r="J3" s="11">
        <v>659.88</v>
      </c>
      <c r="K3" s="11">
        <v>19.899999999999999</v>
      </c>
      <c r="L3" s="12">
        <f t="shared" ref="L3:L21" si="0">J3-K3</f>
        <v>639.98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" x14ac:dyDescent="0.15">
      <c r="A4" s="1">
        <v>2</v>
      </c>
      <c r="B4" s="6" t="s">
        <v>18</v>
      </c>
      <c r="C4" s="7" t="s">
        <v>19</v>
      </c>
      <c r="D4" s="7" t="s">
        <v>20</v>
      </c>
      <c r="E4" s="8" t="s">
        <v>21</v>
      </c>
      <c r="F4" s="8" t="s">
        <v>15</v>
      </c>
      <c r="G4" s="8" t="s">
        <v>22</v>
      </c>
      <c r="H4" s="8" t="s">
        <v>23</v>
      </c>
      <c r="I4" s="10" t="s">
        <v>17</v>
      </c>
      <c r="J4" s="11">
        <v>59.9</v>
      </c>
      <c r="K4" s="11">
        <v>19.899999999999999</v>
      </c>
      <c r="L4" s="12">
        <f t="shared" si="0"/>
        <v>40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" x14ac:dyDescent="0.15">
      <c r="A5" s="1">
        <v>3</v>
      </c>
      <c r="B5" s="6" t="s">
        <v>24</v>
      </c>
      <c r="C5" s="7" t="s">
        <v>25</v>
      </c>
      <c r="D5" s="7" t="s">
        <v>20</v>
      </c>
      <c r="E5" s="8" t="s">
        <v>26</v>
      </c>
      <c r="F5" s="8" t="s">
        <v>15</v>
      </c>
      <c r="G5" s="8" t="s">
        <v>22</v>
      </c>
      <c r="H5" s="8" t="s">
        <v>23</v>
      </c>
      <c r="I5" s="10" t="s">
        <v>17</v>
      </c>
      <c r="J5" s="11">
        <v>59.9</v>
      </c>
      <c r="K5" s="11">
        <v>19.899999999999999</v>
      </c>
      <c r="L5" s="12">
        <f t="shared" si="0"/>
        <v>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" x14ac:dyDescent="0.15">
      <c r="A6" s="1">
        <v>4</v>
      </c>
      <c r="B6" s="6" t="s">
        <v>27</v>
      </c>
      <c r="C6" s="7" t="s">
        <v>28</v>
      </c>
      <c r="D6" s="7" t="s">
        <v>29</v>
      </c>
      <c r="E6" s="8" t="s">
        <v>30</v>
      </c>
      <c r="F6" s="8" t="s">
        <v>31</v>
      </c>
      <c r="G6" s="8" t="s">
        <v>32</v>
      </c>
      <c r="H6" s="8" t="s">
        <v>23</v>
      </c>
      <c r="I6" s="10" t="s">
        <v>17</v>
      </c>
      <c r="J6" s="11">
        <v>119.8</v>
      </c>
      <c r="K6" s="11">
        <v>19.899999999999999</v>
      </c>
      <c r="L6" s="12">
        <f t="shared" si="0"/>
        <v>99.9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" x14ac:dyDescent="0.15">
      <c r="A7" s="1">
        <v>5</v>
      </c>
      <c r="B7" s="6" t="s">
        <v>33</v>
      </c>
      <c r="C7" s="7" t="s">
        <v>34</v>
      </c>
      <c r="D7" s="7" t="s">
        <v>35</v>
      </c>
      <c r="E7" s="8" t="s">
        <v>36</v>
      </c>
      <c r="F7" s="8" t="s">
        <v>37</v>
      </c>
      <c r="G7" s="7" t="s">
        <v>38</v>
      </c>
      <c r="H7" s="7" t="s">
        <v>23</v>
      </c>
      <c r="I7" s="10" t="s">
        <v>17</v>
      </c>
      <c r="J7" s="11">
        <v>59.9</v>
      </c>
      <c r="K7" s="11">
        <v>19.899999999999999</v>
      </c>
      <c r="L7" s="12">
        <f t="shared" si="0"/>
        <v>40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" x14ac:dyDescent="0.15">
      <c r="A8" s="1">
        <v>6</v>
      </c>
      <c r="B8" s="6" t="s">
        <v>39</v>
      </c>
      <c r="C8" s="7" t="s">
        <v>40</v>
      </c>
      <c r="D8" s="7" t="s">
        <v>41</v>
      </c>
      <c r="E8" s="8" t="s">
        <v>42</v>
      </c>
      <c r="F8" s="8" t="s">
        <v>43</v>
      </c>
      <c r="G8" s="7" t="s">
        <v>44</v>
      </c>
      <c r="H8" s="7" t="s">
        <v>23</v>
      </c>
      <c r="I8" s="10" t="s">
        <v>17</v>
      </c>
      <c r="J8" s="11">
        <v>59.9</v>
      </c>
      <c r="K8" s="11">
        <v>19.899999999999999</v>
      </c>
      <c r="L8" s="12">
        <f t="shared" si="0"/>
        <v>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" x14ac:dyDescent="0.15">
      <c r="A9" s="1">
        <v>7</v>
      </c>
      <c r="B9" s="13" t="s">
        <v>45</v>
      </c>
      <c r="C9" s="14" t="s">
        <v>46</v>
      </c>
      <c r="D9" s="14" t="s">
        <v>47</v>
      </c>
      <c r="E9" s="7" t="s">
        <v>48</v>
      </c>
      <c r="F9" s="8" t="s">
        <v>15</v>
      </c>
      <c r="G9" s="7" t="s">
        <v>49</v>
      </c>
      <c r="H9" s="7" t="s">
        <v>23</v>
      </c>
      <c r="I9" s="10" t="s">
        <v>17</v>
      </c>
      <c r="J9" s="11">
        <v>79.900000000000006</v>
      </c>
      <c r="K9" s="11">
        <v>19.899999999999999</v>
      </c>
      <c r="L9" s="12">
        <f t="shared" si="0"/>
        <v>60.000000000000007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" x14ac:dyDescent="0.15">
      <c r="A10" s="1">
        <v>8</v>
      </c>
      <c r="B10" s="13" t="s">
        <v>50</v>
      </c>
      <c r="C10" s="14" t="s">
        <v>51</v>
      </c>
      <c r="D10" s="14" t="s">
        <v>52</v>
      </c>
      <c r="E10" s="7" t="s">
        <v>53</v>
      </c>
      <c r="F10" s="8" t="s">
        <v>15</v>
      </c>
      <c r="G10" s="7" t="s">
        <v>54</v>
      </c>
      <c r="H10" s="7" t="s">
        <v>23</v>
      </c>
      <c r="I10" s="10" t="s">
        <v>17</v>
      </c>
      <c r="J10" s="11">
        <v>59.9</v>
      </c>
      <c r="K10" s="11">
        <v>19.899999999999999</v>
      </c>
      <c r="L10" s="12">
        <f t="shared" si="0"/>
        <v>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" x14ac:dyDescent="0.15">
      <c r="A11" s="1">
        <v>9</v>
      </c>
      <c r="B11" s="13" t="s">
        <v>55</v>
      </c>
      <c r="C11" s="14" t="s">
        <v>56</v>
      </c>
      <c r="D11" s="14" t="s">
        <v>57</v>
      </c>
      <c r="E11" s="7" t="s">
        <v>58</v>
      </c>
      <c r="F11" s="8" t="s">
        <v>15</v>
      </c>
      <c r="G11" s="7" t="s">
        <v>59</v>
      </c>
      <c r="H11" s="7" t="s">
        <v>23</v>
      </c>
      <c r="I11" s="10" t="s">
        <v>17</v>
      </c>
      <c r="J11" s="11">
        <v>59.9</v>
      </c>
      <c r="K11" s="11">
        <v>19.899999999999999</v>
      </c>
      <c r="L11" s="12">
        <f t="shared" si="0"/>
        <v>40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" x14ac:dyDescent="0.15">
      <c r="A12" s="1">
        <v>10</v>
      </c>
      <c r="B12" s="13" t="s">
        <v>60</v>
      </c>
      <c r="C12" s="14" t="s">
        <v>61</v>
      </c>
      <c r="D12" s="14" t="s">
        <v>62</v>
      </c>
      <c r="E12" s="7" t="s">
        <v>63</v>
      </c>
      <c r="F12" s="8" t="s">
        <v>64</v>
      </c>
      <c r="G12" s="7" t="s">
        <v>65</v>
      </c>
      <c r="H12" s="7" t="s">
        <v>66</v>
      </c>
      <c r="I12" s="10" t="s">
        <v>17</v>
      </c>
      <c r="J12" s="11">
        <v>89.9</v>
      </c>
      <c r="K12" s="11">
        <v>19.899999999999999</v>
      </c>
      <c r="L12" s="12">
        <f t="shared" si="0"/>
        <v>70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" x14ac:dyDescent="0.15">
      <c r="A13" s="1">
        <v>11</v>
      </c>
      <c r="B13" s="13" t="s">
        <v>67</v>
      </c>
      <c r="C13" s="14" t="s">
        <v>68</v>
      </c>
      <c r="D13" s="14" t="s">
        <v>69</v>
      </c>
      <c r="E13" s="7" t="s">
        <v>70</v>
      </c>
      <c r="F13" s="8" t="s">
        <v>71</v>
      </c>
      <c r="G13" s="7" t="s">
        <v>72</v>
      </c>
      <c r="H13" s="7" t="s">
        <v>66</v>
      </c>
      <c r="I13" s="10" t="s">
        <v>17</v>
      </c>
      <c r="J13" s="11">
        <v>89.9</v>
      </c>
      <c r="K13" s="11">
        <v>19.899999999999999</v>
      </c>
      <c r="L13" s="12">
        <f t="shared" si="0"/>
        <v>70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" x14ac:dyDescent="0.15">
      <c r="A14" s="1">
        <v>12</v>
      </c>
      <c r="B14" s="13" t="s">
        <v>73</v>
      </c>
      <c r="C14" s="14" t="s">
        <v>74</v>
      </c>
      <c r="D14" s="14" t="s">
        <v>75</v>
      </c>
      <c r="E14" s="7" t="s">
        <v>76</v>
      </c>
      <c r="F14" s="8" t="s">
        <v>77</v>
      </c>
      <c r="G14" s="7" t="s">
        <v>78</v>
      </c>
      <c r="H14" s="7" t="s">
        <v>66</v>
      </c>
      <c r="I14" s="10" t="s">
        <v>17</v>
      </c>
      <c r="J14" s="11">
        <v>59.9</v>
      </c>
      <c r="K14" s="11">
        <v>19.899999999999999</v>
      </c>
      <c r="L14" s="12">
        <f t="shared" si="0"/>
        <v>40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" x14ac:dyDescent="0.15">
      <c r="A15" s="1">
        <v>13</v>
      </c>
      <c r="B15" s="13" t="s">
        <v>79</v>
      </c>
      <c r="C15" s="14" t="s">
        <v>80</v>
      </c>
      <c r="D15" s="14" t="s">
        <v>81</v>
      </c>
      <c r="E15" s="7" t="s">
        <v>82</v>
      </c>
      <c r="F15" s="8" t="s">
        <v>15</v>
      </c>
      <c r="G15" s="7" t="s">
        <v>83</v>
      </c>
      <c r="H15" s="7" t="s">
        <v>66</v>
      </c>
      <c r="I15" s="10" t="s">
        <v>17</v>
      </c>
      <c r="J15" s="11">
        <v>59.9</v>
      </c>
      <c r="K15" s="11">
        <v>19.899999999999999</v>
      </c>
      <c r="L15" s="12">
        <f t="shared" si="0"/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" x14ac:dyDescent="0.15">
      <c r="A16" s="1">
        <v>14</v>
      </c>
      <c r="B16" s="13" t="s">
        <v>84</v>
      </c>
      <c r="C16" s="14" t="s">
        <v>85</v>
      </c>
      <c r="D16" s="14" t="s">
        <v>86</v>
      </c>
      <c r="E16" s="7" t="s">
        <v>87</v>
      </c>
      <c r="F16" s="8" t="s">
        <v>15</v>
      </c>
      <c r="G16" s="7" t="s">
        <v>88</v>
      </c>
      <c r="H16" s="7" t="s">
        <v>66</v>
      </c>
      <c r="I16" s="10" t="s">
        <v>17</v>
      </c>
      <c r="J16" s="11">
        <v>59.9</v>
      </c>
      <c r="K16" s="11">
        <v>19.899999999999999</v>
      </c>
      <c r="L16" s="12">
        <f t="shared" si="0"/>
        <v>40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" x14ac:dyDescent="0.15">
      <c r="A17" s="1">
        <v>15</v>
      </c>
      <c r="B17" s="13" t="s">
        <v>89</v>
      </c>
      <c r="C17" s="14" t="s">
        <v>90</v>
      </c>
      <c r="D17" s="14" t="s">
        <v>91</v>
      </c>
      <c r="E17" s="7" t="s">
        <v>92</v>
      </c>
      <c r="F17" s="8" t="s">
        <v>15</v>
      </c>
      <c r="G17" s="7" t="s">
        <v>93</v>
      </c>
      <c r="H17" s="7" t="s">
        <v>66</v>
      </c>
      <c r="I17" s="10" t="s">
        <v>17</v>
      </c>
      <c r="J17" s="11">
        <v>59.9</v>
      </c>
      <c r="K17" s="11">
        <v>19.899999999999999</v>
      </c>
      <c r="L17" s="12">
        <f t="shared" si="0"/>
        <v>40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" x14ac:dyDescent="0.2">
      <c r="A18" s="1">
        <v>16</v>
      </c>
      <c r="B18" s="15" t="s">
        <v>94</v>
      </c>
      <c r="C18" s="14" t="s">
        <v>95</v>
      </c>
      <c r="D18" s="14" t="s">
        <v>96</v>
      </c>
      <c r="E18" s="16" t="s">
        <v>97</v>
      </c>
      <c r="F18" s="8" t="s">
        <v>15</v>
      </c>
      <c r="G18" s="7" t="s">
        <v>98</v>
      </c>
      <c r="H18" s="17">
        <v>46323</v>
      </c>
      <c r="I18" s="10" t="s">
        <v>17</v>
      </c>
      <c r="J18" s="11">
        <v>598.79999999999995</v>
      </c>
      <c r="K18" s="11">
        <v>19.899999999999999</v>
      </c>
      <c r="L18" s="12">
        <f t="shared" si="0"/>
        <v>578.9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" x14ac:dyDescent="0.2">
      <c r="A19" s="1">
        <v>17</v>
      </c>
      <c r="B19" s="15" t="s">
        <v>99</v>
      </c>
      <c r="C19" s="14" t="s">
        <v>95</v>
      </c>
      <c r="D19" s="14" t="s">
        <v>96</v>
      </c>
      <c r="E19" s="16" t="s">
        <v>100</v>
      </c>
      <c r="F19" s="8" t="s">
        <v>15</v>
      </c>
      <c r="G19" s="7" t="s">
        <v>98</v>
      </c>
      <c r="H19" s="17">
        <v>46323</v>
      </c>
      <c r="I19" s="10" t="s">
        <v>17</v>
      </c>
      <c r="J19" s="11">
        <v>598.79999999999995</v>
      </c>
      <c r="K19" s="11">
        <v>19.899999999999999</v>
      </c>
      <c r="L19" s="12">
        <f t="shared" si="0"/>
        <v>578.9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" x14ac:dyDescent="0.2">
      <c r="A20" s="1">
        <v>18</v>
      </c>
      <c r="B20" s="15" t="s">
        <v>101</v>
      </c>
      <c r="C20" s="14" t="s">
        <v>102</v>
      </c>
      <c r="D20" s="14" t="s">
        <v>103</v>
      </c>
      <c r="E20" s="16" t="s">
        <v>104</v>
      </c>
      <c r="F20" s="8" t="s">
        <v>15</v>
      </c>
      <c r="G20" s="7" t="s">
        <v>105</v>
      </c>
      <c r="H20" s="7" t="s">
        <v>66</v>
      </c>
      <c r="I20" s="10" t="s">
        <v>17</v>
      </c>
      <c r="J20" s="11">
        <v>39.9</v>
      </c>
      <c r="K20" s="11">
        <v>19.899999999999999</v>
      </c>
      <c r="L20" s="12">
        <f t="shared" si="0"/>
        <v>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" x14ac:dyDescent="0.2">
      <c r="A21" s="1">
        <v>19</v>
      </c>
      <c r="B21" s="15" t="s">
        <v>106</v>
      </c>
      <c r="C21" s="14" t="s">
        <v>102</v>
      </c>
      <c r="D21" s="14" t="s">
        <v>103</v>
      </c>
      <c r="E21" s="16" t="s">
        <v>107</v>
      </c>
      <c r="F21" s="8" t="s">
        <v>15</v>
      </c>
      <c r="G21" s="7" t="s">
        <v>105</v>
      </c>
      <c r="H21" s="7" t="s">
        <v>66</v>
      </c>
      <c r="I21" s="10" t="s">
        <v>17</v>
      </c>
      <c r="J21" s="11">
        <v>39.9</v>
      </c>
      <c r="K21" s="11">
        <v>19.899999999999999</v>
      </c>
      <c r="L21" s="12">
        <f t="shared" si="0"/>
        <v>20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" x14ac:dyDescent="0.15"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" x14ac:dyDescent="0.15">
      <c r="A23" s="1">
        <v>20</v>
      </c>
      <c r="B23" s="13" t="s">
        <v>108</v>
      </c>
      <c r="C23" s="14" t="s">
        <v>109</v>
      </c>
      <c r="D23" s="14" t="s">
        <v>110</v>
      </c>
      <c r="E23" s="7" t="s">
        <v>111</v>
      </c>
      <c r="F23" s="8" t="s">
        <v>15</v>
      </c>
      <c r="G23" s="7" t="s">
        <v>112</v>
      </c>
      <c r="H23" s="7" t="s">
        <v>66</v>
      </c>
      <c r="I23" s="18" t="s">
        <v>113</v>
      </c>
      <c r="J23" s="11"/>
      <c r="K23" s="11">
        <v>19.899999999999999</v>
      </c>
      <c r="L23" s="12">
        <f>J23-K23</f>
        <v>-19.899999999999999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" x14ac:dyDescent="0.15">
      <c r="A24" s="1"/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" x14ac:dyDescent="0.15">
      <c r="A25" s="1"/>
      <c r="J25" s="19">
        <f t="shared" ref="J25:L25" si="1">SUM(J3:J24)</f>
        <v>2915.7800000000007</v>
      </c>
      <c r="K25" s="19">
        <f t="shared" si="1"/>
        <v>397.99999999999989</v>
      </c>
      <c r="L25" s="19">
        <f t="shared" si="1"/>
        <v>2517.7800000000002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" x14ac:dyDescent="0.15">
      <c r="A27" s="1"/>
      <c r="B27" s="2"/>
      <c r="C27" s="3" t="s">
        <v>0</v>
      </c>
      <c r="D27" s="4" t="s">
        <v>114</v>
      </c>
      <c r="E27" s="4" t="s">
        <v>1</v>
      </c>
      <c r="F27" s="4" t="s">
        <v>2</v>
      </c>
      <c r="G27" s="4" t="s">
        <v>3</v>
      </c>
      <c r="H27" s="4" t="s">
        <v>5</v>
      </c>
      <c r="I27" s="4" t="s">
        <v>7</v>
      </c>
      <c r="J27" s="4" t="s">
        <v>8</v>
      </c>
      <c r="K27" s="4" t="s">
        <v>9</v>
      </c>
      <c r="L27" s="4" t="s">
        <v>10</v>
      </c>
      <c r="M27" s="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" x14ac:dyDescent="0.15">
      <c r="A28" s="1"/>
      <c r="B28" s="1">
        <v>1</v>
      </c>
      <c r="C28" s="6" t="s">
        <v>115</v>
      </c>
      <c r="D28" s="7" t="s">
        <v>116</v>
      </c>
      <c r="E28" s="7" t="s">
        <v>117</v>
      </c>
      <c r="F28" s="7" t="s">
        <v>118</v>
      </c>
      <c r="G28" s="8" t="s">
        <v>119</v>
      </c>
      <c r="H28" s="8" t="s">
        <v>120</v>
      </c>
      <c r="I28" s="10" t="s">
        <v>17</v>
      </c>
      <c r="J28" s="20">
        <v>119.9</v>
      </c>
      <c r="K28" s="20">
        <v>50</v>
      </c>
      <c r="L28" s="21">
        <f t="shared" ref="L28:L33" si="2">J28-K28</f>
        <v>69.900000000000006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" x14ac:dyDescent="0.15">
      <c r="A29" s="1"/>
      <c r="B29" s="1">
        <v>2</v>
      </c>
      <c r="C29" s="6" t="s">
        <v>11</v>
      </c>
      <c r="D29" s="14" t="s">
        <v>121</v>
      </c>
      <c r="E29" s="7" t="s">
        <v>12</v>
      </c>
      <c r="F29" s="7" t="s">
        <v>13</v>
      </c>
      <c r="G29" s="8" t="s">
        <v>14</v>
      </c>
      <c r="H29" s="8" t="s">
        <v>16</v>
      </c>
      <c r="I29" s="22" t="s">
        <v>122</v>
      </c>
      <c r="J29" s="11">
        <v>0</v>
      </c>
      <c r="K29" s="11">
        <v>50</v>
      </c>
      <c r="L29" s="21">
        <f t="shared" si="2"/>
        <v>-50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" x14ac:dyDescent="0.15">
      <c r="A30" s="1"/>
      <c r="B30" s="1">
        <v>3</v>
      </c>
      <c r="C30" s="6" t="s">
        <v>123</v>
      </c>
      <c r="D30" s="14" t="s">
        <v>121</v>
      </c>
      <c r="E30" s="7" t="s">
        <v>124</v>
      </c>
      <c r="F30" s="7" t="s">
        <v>125</v>
      </c>
      <c r="G30" s="8" t="s">
        <v>126</v>
      </c>
      <c r="H30" s="8" t="s">
        <v>127</v>
      </c>
      <c r="I30" s="10" t="s">
        <v>17</v>
      </c>
      <c r="J30" s="20">
        <v>149.9</v>
      </c>
      <c r="K30" s="20">
        <v>50</v>
      </c>
      <c r="L30" s="21">
        <f t="shared" si="2"/>
        <v>99.9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" x14ac:dyDescent="0.2">
      <c r="A31" s="1"/>
      <c r="B31" s="1">
        <v>4</v>
      </c>
      <c r="C31" s="15" t="s">
        <v>94</v>
      </c>
      <c r="D31" s="14" t="s">
        <v>121</v>
      </c>
      <c r="E31" s="14" t="s">
        <v>95</v>
      </c>
      <c r="F31" s="1" t="s">
        <v>128</v>
      </c>
      <c r="G31" s="16" t="s">
        <v>97</v>
      </c>
      <c r="H31" s="7" t="s">
        <v>98</v>
      </c>
      <c r="I31" s="22" t="s">
        <v>122</v>
      </c>
      <c r="J31" s="20">
        <v>0</v>
      </c>
      <c r="K31" s="20">
        <v>50</v>
      </c>
      <c r="L31" s="21">
        <f t="shared" si="2"/>
        <v>-50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" x14ac:dyDescent="0.2">
      <c r="A32" s="1"/>
      <c r="B32" s="1">
        <v>5</v>
      </c>
      <c r="C32" s="15" t="s">
        <v>99</v>
      </c>
      <c r="D32" s="14" t="s">
        <v>121</v>
      </c>
      <c r="E32" s="14" t="s">
        <v>95</v>
      </c>
      <c r="F32" s="14" t="s">
        <v>128</v>
      </c>
      <c r="G32" s="16" t="s">
        <v>100</v>
      </c>
      <c r="H32" s="7" t="s">
        <v>98</v>
      </c>
      <c r="I32" s="22" t="s">
        <v>122</v>
      </c>
      <c r="J32" s="11">
        <v>0</v>
      </c>
      <c r="K32" s="11">
        <v>50</v>
      </c>
      <c r="L32" s="21">
        <f t="shared" si="2"/>
        <v>-50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" x14ac:dyDescent="0.15">
      <c r="A33" s="1"/>
      <c r="B33" s="1">
        <v>6</v>
      </c>
      <c r="C33" s="13" t="s">
        <v>55</v>
      </c>
      <c r="D33" s="14" t="s">
        <v>121</v>
      </c>
      <c r="E33" s="14" t="s">
        <v>56</v>
      </c>
      <c r="F33" s="14" t="s">
        <v>57</v>
      </c>
      <c r="G33" s="7" t="s">
        <v>58</v>
      </c>
      <c r="H33" s="8" t="s">
        <v>59</v>
      </c>
      <c r="I33" s="10" t="s">
        <v>17</v>
      </c>
      <c r="J33" s="20">
        <v>149.9</v>
      </c>
      <c r="K33" s="20">
        <v>50</v>
      </c>
      <c r="L33" s="21">
        <f t="shared" si="2"/>
        <v>99.9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" x14ac:dyDescent="0.15">
      <c r="A41" s="1"/>
      <c r="B41" s="1"/>
      <c r="C41" s="1"/>
      <c r="D41" s="1"/>
      <c r="E41" s="1"/>
      <c r="F41" s="1"/>
      <c r="G41" s="1"/>
      <c r="H41" s="1"/>
      <c r="I41" s="1"/>
      <c r="J41" s="23">
        <f>SUM(J28:J40)</f>
        <v>419.70000000000005</v>
      </c>
      <c r="K41" s="23">
        <f>SUM(K28:K40)</f>
        <v>300</v>
      </c>
      <c r="L41" s="23">
        <f>SUM(L28:L40)</f>
        <v>119.70000000000002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9"/>
  <sheetViews>
    <sheetView showGridLines="0" zoomScale="160" zoomScaleNormal="160" workbookViewId="0">
      <selection activeCell="C26" sqref="C26"/>
    </sheetView>
  </sheetViews>
  <sheetFormatPr baseColWidth="10" defaultColWidth="12.6640625" defaultRowHeight="15.75" customHeight="1" x14ac:dyDescent="0.15"/>
  <cols>
    <col min="1" max="1" width="1.1640625" customWidth="1"/>
    <col min="2" max="2" width="4.1640625" customWidth="1"/>
    <col min="3" max="3" width="16.1640625" customWidth="1"/>
    <col min="4" max="4" width="26" customWidth="1"/>
    <col min="5" max="5" width="12.1640625" customWidth="1"/>
    <col min="6" max="6" width="36" customWidth="1"/>
    <col min="7" max="7" width="11.6640625" customWidth="1"/>
    <col min="8" max="8" width="11.1640625" customWidth="1"/>
    <col min="9" max="9" width="14.1640625" customWidth="1"/>
    <col min="10" max="10" width="10.5" customWidth="1"/>
    <col min="11" max="11" width="8.6640625" customWidth="1"/>
    <col min="12" max="12" width="8.83203125" customWidth="1"/>
    <col min="13" max="13" width="8.6640625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18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15" t="s">
        <v>94</v>
      </c>
      <c r="D4" s="14" t="s">
        <v>95</v>
      </c>
      <c r="E4" s="14" t="s">
        <v>96</v>
      </c>
      <c r="F4" s="16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15" t="s">
        <v>99</v>
      </c>
      <c r="D5" s="14" t="s">
        <v>95</v>
      </c>
      <c r="E5" s="14" t="s">
        <v>96</v>
      </c>
      <c r="F5" s="16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>
        <v>478.8</v>
      </c>
      <c r="L6" s="11">
        <v>19.899999999999999</v>
      </c>
      <c r="M6" s="12">
        <f t="shared" si="0"/>
        <v>458.90000000000003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>
        <v>5</v>
      </c>
      <c r="C7" s="6" t="s">
        <v>18</v>
      </c>
      <c r="D7" s="7" t="s">
        <v>19</v>
      </c>
      <c r="E7" s="7" t="s">
        <v>20</v>
      </c>
      <c r="F7" s="8" t="s">
        <v>21</v>
      </c>
      <c r="G7" s="8" t="s">
        <v>15</v>
      </c>
      <c r="H7" s="8" t="s">
        <v>22</v>
      </c>
      <c r="I7" s="8" t="s">
        <v>23</v>
      </c>
      <c r="J7" s="10" t="s">
        <v>17</v>
      </c>
      <c r="K7" s="11">
        <v>59.9</v>
      </c>
      <c r="L7" s="11">
        <v>19.899999999999999</v>
      </c>
      <c r="M7" s="12">
        <f t="shared" si="0"/>
        <v>40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6</v>
      </c>
      <c r="C8" s="6" t="s">
        <v>24</v>
      </c>
      <c r="D8" s="7" t="s">
        <v>25</v>
      </c>
      <c r="E8" s="7" t="s">
        <v>20</v>
      </c>
      <c r="F8" s="8" t="s">
        <v>26</v>
      </c>
      <c r="G8" s="8" t="s">
        <v>15</v>
      </c>
      <c r="H8" s="8" t="s">
        <v>22</v>
      </c>
      <c r="I8" s="8" t="s">
        <v>23</v>
      </c>
      <c r="J8" s="10" t="s">
        <v>17</v>
      </c>
      <c r="K8" s="11">
        <v>59.9</v>
      </c>
      <c r="L8" s="11">
        <v>19.899999999999999</v>
      </c>
      <c r="M8" s="12">
        <f t="shared" si="0"/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7</v>
      </c>
      <c r="C9" s="6" t="s">
        <v>33</v>
      </c>
      <c r="D9" s="7" t="s">
        <v>34</v>
      </c>
      <c r="E9" s="7" t="s">
        <v>35</v>
      </c>
      <c r="F9" s="8" t="s">
        <v>36</v>
      </c>
      <c r="G9" s="8" t="s">
        <v>37</v>
      </c>
      <c r="H9" s="7" t="s">
        <v>38</v>
      </c>
      <c r="I9" s="7" t="s">
        <v>23</v>
      </c>
      <c r="J9" s="10" t="s">
        <v>17</v>
      </c>
      <c r="K9" s="11">
        <v>59.9</v>
      </c>
      <c r="L9" s="11">
        <v>19.899999999999999</v>
      </c>
      <c r="M9" s="12">
        <f t="shared" si="0"/>
        <v>40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8</v>
      </c>
      <c r="C10" s="13" t="s">
        <v>45</v>
      </c>
      <c r="D10" s="14" t="s">
        <v>46</v>
      </c>
      <c r="E10" s="14" t="s">
        <v>47</v>
      </c>
      <c r="F10" s="7" t="s">
        <v>48</v>
      </c>
      <c r="G10" s="8" t="s">
        <v>15</v>
      </c>
      <c r="H10" s="7" t="s">
        <v>49</v>
      </c>
      <c r="I10" s="7" t="s">
        <v>23</v>
      </c>
      <c r="J10" s="10" t="s">
        <v>17</v>
      </c>
      <c r="K10" s="11">
        <v>79.900000000000006</v>
      </c>
      <c r="L10" s="11">
        <v>19.899999999999999</v>
      </c>
      <c r="M10" s="12">
        <f t="shared" si="0"/>
        <v>60.000000000000007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9</v>
      </c>
      <c r="C11" s="13" t="s">
        <v>50</v>
      </c>
      <c r="D11" s="14" t="s">
        <v>51</v>
      </c>
      <c r="E11" s="14" t="s">
        <v>52</v>
      </c>
      <c r="F11" s="7" t="s">
        <v>53</v>
      </c>
      <c r="G11" s="8" t="s">
        <v>15</v>
      </c>
      <c r="H11" s="7" t="s">
        <v>54</v>
      </c>
      <c r="I11" s="7" t="s">
        <v>23</v>
      </c>
      <c r="J11" s="10" t="s">
        <v>17</v>
      </c>
      <c r="K11" s="11">
        <v>59.9</v>
      </c>
      <c r="L11" s="11">
        <v>19.899999999999999</v>
      </c>
      <c r="M11" s="12">
        <f t="shared" si="0"/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10</v>
      </c>
      <c r="C12" s="13" t="s">
        <v>55</v>
      </c>
      <c r="D12" s="14" t="s">
        <v>56</v>
      </c>
      <c r="E12" s="14" t="s">
        <v>57</v>
      </c>
      <c r="F12" s="7" t="s">
        <v>58</v>
      </c>
      <c r="G12" s="8" t="s">
        <v>15</v>
      </c>
      <c r="H12" s="7" t="s">
        <v>59</v>
      </c>
      <c r="I12" s="7" t="s">
        <v>23</v>
      </c>
      <c r="J12" s="10" t="s">
        <v>17</v>
      </c>
      <c r="K12" s="11">
        <v>59.9</v>
      </c>
      <c r="L12" s="11">
        <v>19.899999999999999</v>
      </c>
      <c r="M12" s="12">
        <f t="shared" si="0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11</v>
      </c>
      <c r="C13" s="13" t="s">
        <v>60</v>
      </c>
      <c r="D13" s="14" t="s">
        <v>61</v>
      </c>
      <c r="E13" s="14" t="s">
        <v>62</v>
      </c>
      <c r="F13" s="7" t="s">
        <v>63</v>
      </c>
      <c r="G13" s="8" t="s">
        <v>64</v>
      </c>
      <c r="H13" s="7" t="s">
        <v>65</v>
      </c>
      <c r="I13" s="7" t="s">
        <v>66</v>
      </c>
      <c r="J13" s="10" t="s">
        <v>17</v>
      </c>
      <c r="K13" s="11">
        <v>89.9</v>
      </c>
      <c r="L13" s="11">
        <v>19.899999999999999</v>
      </c>
      <c r="M13" s="12">
        <f t="shared" si="0"/>
        <v>70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>
        <v>12</v>
      </c>
      <c r="C14" s="13" t="s">
        <v>73</v>
      </c>
      <c r="D14" s="14" t="s">
        <v>74</v>
      </c>
      <c r="E14" s="14" t="s">
        <v>75</v>
      </c>
      <c r="F14" s="7" t="s">
        <v>76</v>
      </c>
      <c r="G14" s="8" t="s">
        <v>77</v>
      </c>
      <c r="H14" s="7" t="s">
        <v>78</v>
      </c>
      <c r="I14" s="7" t="s">
        <v>66</v>
      </c>
      <c r="J14" s="10" t="s">
        <v>17</v>
      </c>
      <c r="K14" s="11">
        <v>59.9</v>
      </c>
      <c r="L14" s="11">
        <v>19.899999999999999</v>
      </c>
      <c r="M14" s="12">
        <f t="shared" si="0"/>
        <v>40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13</v>
      </c>
      <c r="C15" s="13" t="s">
        <v>89</v>
      </c>
      <c r="D15" s="14" t="s">
        <v>90</v>
      </c>
      <c r="E15" s="14" t="s">
        <v>91</v>
      </c>
      <c r="F15" s="7" t="s">
        <v>92</v>
      </c>
      <c r="G15" s="8" t="s">
        <v>15</v>
      </c>
      <c r="H15" s="7" t="s">
        <v>93</v>
      </c>
      <c r="I15" s="7" t="s">
        <v>66</v>
      </c>
      <c r="J15" s="10" t="s">
        <v>17</v>
      </c>
      <c r="K15" s="11">
        <v>59.9</v>
      </c>
      <c r="L15" s="11">
        <v>19.899999999999999</v>
      </c>
      <c r="M15" s="12">
        <f t="shared" si="0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2">
      <c r="A16" s="1"/>
      <c r="B16" s="1">
        <v>14</v>
      </c>
      <c r="C16" s="15" t="s">
        <v>101</v>
      </c>
      <c r="D16" s="14" t="s">
        <v>102</v>
      </c>
      <c r="E16" s="14" t="s">
        <v>103</v>
      </c>
      <c r="F16" s="16" t="s">
        <v>104</v>
      </c>
      <c r="G16" s="8" t="s">
        <v>15</v>
      </c>
      <c r="H16" s="7" t="s">
        <v>105</v>
      </c>
      <c r="I16" s="7" t="s">
        <v>66</v>
      </c>
      <c r="J16" s="10" t="s">
        <v>17</v>
      </c>
      <c r="K16" s="11">
        <v>39.9</v>
      </c>
      <c r="L16" s="11">
        <v>19.899999999999999</v>
      </c>
      <c r="M16" s="12">
        <f t="shared" si="0"/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2">
      <c r="A17" s="1"/>
      <c r="B17" s="1">
        <v>15</v>
      </c>
      <c r="C17" s="15" t="s">
        <v>106</v>
      </c>
      <c r="D17" s="14" t="s">
        <v>102</v>
      </c>
      <c r="E17" s="14" t="s">
        <v>103</v>
      </c>
      <c r="F17" s="16" t="s">
        <v>107</v>
      </c>
      <c r="G17" s="8" t="s">
        <v>15</v>
      </c>
      <c r="H17" s="7" t="s">
        <v>105</v>
      </c>
      <c r="I17" s="7" t="s">
        <v>66</v>
      </c>
      <c r="J17" s="10" t="s">
        <v>17</v>
      </c>
      <c r="K17" s="11">
        <v>39.9</v>
      </c>
      <c r="L17" s="11">
        <v>19.899999999999999</v>
      </c>
      <c r="M17" s="12">
        <f t="shared" si="0"/>
        <v>20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16</v>
      </c>
      <c r="C18" s="13" t="s">
        <v>129</v>
      </c>
      <c r="D18" s="14" t="s">
        <v>130</v>
      </c>
      <c r="E18" s="14" t="s">
        <v>131</v>
      </c>
      <c r="F18" s="7" t="s">
        <v>132</v>
      </c>
      <c r="G18" s="8" t="s">
        <v>15</v>
      </c>
      <c r="H18" s="7" t="s">
        <v>133</v>
      </c>
      <c r="I18" s="7" t="s">
        <v>23</v>
      </c>
      <c r="J18" s="10" t="s">
        <v>17</v>
      </c>
      <c r="K18" s="11">
        <v>59.9</v>
      </c>
      <c r="L18" s="11">
        <v>19.899999999999999</v>
      </c>
      <c r="M18" s="12">
        <f t="shared" si="0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/>
      <c r="C19" s="5"/>
      <c r="D19" s="1"/>
      <c r="E19" s="1"/>
      <c r="F19" s="5"/>
      <c r="G19" s="27"/>
      <c r="H19" s="5"/>
      <c r="I19" s="5"/>
      <c r="J19" s="28"/>
      <c r="K19" s="29"/>
      <c r="L19" s="29"/>
      <c r="M19" s="2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15">
      <c r="A20" s="1"/>
      <c r="B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15">
      <c r="A21" s="1"/>
      <c r="C21" s="13" t="s">
        <v>67</v>
      </c>
      <c r="D21" s="14" t="s">
        <v>68</v>
      </c>
      <c r="E21" s="14" t="s">
        <v>69</v>
      </c>
      <c r="F21" s="7" t="s">
        <v>70</v>
      </c>
      <c r="G21" s="8" t="s">
        <v>71</v>
      </c>
      <c r="H21" s="7" t="s">
        <v>72</v>
      </c>
      <c r="I21" s="7" t="s">
        <v>66</v>
      </c>
      <c r="J21" s="18" t="s">
        <v>113</v>
      </c>
      <c r="K21" s="11"/>
      <c r="L21" s="11">
        <v>19.899999999999999</v>
      </c>
      <c r="M21" s="12">
        <f t="shared" ref="M21:M25" si="1">K21-L21</f>
        <v>-19.899999999999999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C22" s="13" t="s">
        <v>79</v>
      </c>
      <c r="D22" s="14" t="s">
        <v>80</v>
      </c>
      <c r="E22" s="14" t="s">
        <v>81</v>
      </c>
      <c r="F22" s="7" t="s">
        <v>82</v>
      </c>
      <c r="G22" s="8" t="s">
        <v>15</v>
      </c>
      <c r="H22" s="7" t="s">
        <v>83</v>
      </c>
      <c r="I22" s="7" t="s">
        <v>66</v>
      </c>
      <c r="J22" s="18" t="s">
        <v>113</v>
      </c>
      <c r="K22" s="11"/>
      <c r="L22" s="11"/>
      <c r="M22" s="12">
        <f t="shared" si="1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B23" s="1"/>
      <c r="C23" s="6" t="s">
        <v>39</v>
      </c>
      <c r="D23" s="7" t="s">
        <v>40</v>
      </c>
      <c r="E23" s="7" t="s">
        <v>41</v>
      </c>
      <c r="F23" s="8" t="s">
        <v>42</v>
      </c>
      <c r="G23" s="8" t="s">
        <v>43</v>
      </c>
      <c r="H23" s="7" t="s">
        <v>44</v>
      </c>
      <c r="I23" s="7" t="s">
        <v>23</v>
      </c>
      <c r="J23" s="18" t="s">
        <v>113</v>
      </c>
      <c r="K23" s="11"/>
      <c r="L23" s="11"/>
      <c r="M23" s="12">
        <f t="shared" si="1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15">
      <c r="A24" s="1"/>
      <c r="B24" s="1"/>
      <c r="C24" s="6" t="s">
        <v>27</v>
      </c>
      <c r="D24" s="7" t="s">
        <v>28</v>
      </c>
      <c r="E24" s="7" t="s">
        <v>29</v>
      </c>
      <c r="F24" s="8" t="s">
        <v>30</v>
      </c>
      <c r="G24" s="8" t="s">
        <v>31</v>
      </c>
      <c r="H24" s="8" t="s">
        <v>32</v>
      </c>
      <c r="I24" s="8" t="s">
        <v>23</v>
      </c>
      <c r="J24" s="18" t="s">
        <v>113</v>
      </c>
      <c r="K24" s="11"/>
      <c r="L24" s="11"/>
      <c r="M24" s="12">
        <f t="shared" si="1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15">
      <c r="A25" s="1"/>
      <c r="B25" s="1"/>
      <c r="C25" s="13" t="s">
        <v>108</v>
      </c>
      <c r="D25" s="14" t="s">
        <v>109</v>
      </c>
      <c r="E25" s="14" t="s">
        <v>110</v>
      </c>
      <c r="F25" s="7" t="s">
        <v>111</v>
      </c>
      <c r="G25" s="8" t="s">
        <v>15</v>
      </c>
      <c r="H25" s="7" t="s">
        <v>112</v>
      </c>
      <c r="I25" s="7" t="s">
        <v>66</v>
      </c>
      <c r="J25" s="18" t="s">
        <v>113</v>
      </c>
      <c r="K25" s="11"/>
      <c r="L25" s="11"/>
      <c r="M25" s="12">
        <f t="shared" si="1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15">
      <c r="A26" s="1"/>
      <c r="B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B27" s="1"/>
      <c r="K27" s="19">
        <f t="shared" ref="K27:M27" si="2">SUM(K3:K26)</f>
        <v>1207.6000000000001</v>
      </c>
      <c r="L27" s="19">
        <f t="shared" si="2"/>
        <v>338.29999999999995</v>
      </c>
      <c r="M27" s="19">
        <f t="shared" si="2"/>
        <v>869.30000000000007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2"/>
      <c r="C31" s="3" t="s">
        <v>0</v>
      </c>
      <c r="D31" s="4" t="s">
        <v>114</v>
      </c>
      <c r="E31" s="4" t="s">
        <v>1</v>
      </c>
      <c r="F31" s="4" t="s">
        <v>2</v>
      </c>
      <c r="G31" s="4" t="s">
        <v>3</v>
      </c>
      <c r="H31" s="4" t="s">
        <v>5</v>
      </c>
      <c r="I31" s="4" t="s">
        <v>7</v>
      </c>
      <c r="J31" s="4" t="s">
        <v>8</v>
      </c>
      <c r="K31" s="4" t="s">
        <v>9</v>
      </c>
      <c r="L31" s="4" t="s">
        <v>10</v>
      </c>
      <c r="M31" s="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>
        <v>1</v>
      </c>
      <c r="C32" s="6" t="s">
        <v>134</v>
      </c>
      <c r="D32" s="7" t="s">
        <v>121</v>
      </c>
      <c r="E32" s="7" t="s">
        <v>135</v>
      </c>
      <c r="F32" s="7" t="s">
        <v>136</v>
      </c>
      <c r="G32" s="8"/>
      <c r="H32" s="8" t="s">
        <v>137</v>
      </c>
      <c r="I32" s="10" t="s">
        <v>17</v>
      </c>
      <c r="J32" s="20">
        <v>149.9</v>
      </c>
      <c r="K32" s="20">
        <v>50</v>
      </c>
      <c r="L32" s="21">
        <f>J32-K32</f>
        <v>99.9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>
        <v>2</v>
      </c>
      <c r="C33" s="6" t="s">
        <v>138</v>
      </c>
      <c r="D33" s="14" t="s">
        <v>139</v>
      </c>
      <c r="E33" s="7" t="s">
        <v>140</v>
      </c>
      <c r="F33" s="7" t="s">
        <v>141</v>
      </c>
      <c r="G33" s="8" t="s">
        <v>142</v>
      </c>
      <c r="H33" s="8" t="s">
        <v>143</v>
      </c>
      <c r="I33" s="10" t="s">
        <v>17</v>
      </c>
      <c r="J33" s="11">
        <v>129.9</v>
      </c>
      <c r="K33" s="11">
        <v>50</v>
      </c>
      <c r="L33" s="21">
        <f>J33-K33</f>
        <v>79.900000000000006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>
        <v>3</v>
      </c>
      <c r="C34" s="6"/>
      <c r="D34" s="14"/>
      <c r="E34" s="7"/>
      <c r="F34" s="7"/>
      <c r="G34" s="8"/>
      <c r="H34" s="8"/>
      <c r="I34" s="14"/>
      <c r="J34" s="20"/>
      <c r="K34" s="20"/>
      <c r="L34" s="2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2">
      <c r="A35" s="1"/>
      <c r="B35" s="1">
        <v>4</v>
      </c>
      <c r="C35" s="15"/>
      <c r="D35" s="14"/>
      <c r="E35" s="14"/>
      <c r="F35" s="14"/>
      <c r="G35" s="16"/>
      <c r="H35" s="7"/>
      <c r="I35" s="14"/>
      <c r="J35" s="20"/>
      <c r="K35" s="20"/>
      <c r="L35" s="2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2">
      <c r="A36" s="1"/>
      <c r="B36" s="1">
        <v>5</v>
      </c>
      <c r="C36" s="15"/>
      <c r="D36" s="14"/>
      <c r="E36" s="14"/>
      <c r="F36" s="14"/>
      <c r="G36" s="16"/>
      <c r="H36" s="7"/>
      <c r="I36" s="14"/>
      <c r="J36" s="11"/>
      <c r="K36" s="11"/>
      <c r="L36" s="2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>
        <v>6</v>
      </c>
      <c r="C37" s="13"/>
      <c r="D37" s="14"/>
      <c r="E37" s="14"/>
      <c r="F37" s="14"/>
      <c r="G37" s="7"/>
      <c r="H37" s="8"/>
      <c r="I37" s="14"/>
      <c r="J37" s="20"/>
      <c r="K37" s="20"/>
      <c r="L37" s="2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23">
        <f>SUM(J32:J44)</f>
        <v>279.8</v>
      </c>
      <c r="K45" s="23">
        <f>SUM(K32:K44)</f>
        <v>100</v>
      </c>
      <c r="L45" s="23">
        <f>SUM(L32:L44)</f>
        <v>179.8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3096-49B3-5A4B-B872-02AF1F45E1B7}">
  <sheetPr>
    <outlinePr summaryBelow="0" summaryRight="0"/>
  </sheetPr>
  <dimension ref="A1:AC998"/>
  <sheetViews>
    <sheetView showGridLines="0" zoomScale="101" workbookViewId="0">
      <selection activeCell="D48" sqref="D48"/>
    </sheetView>
  </sheetViews>
  <sheetFormatPr baseColWidth="10" defaultColWidth="12.6640625" defaultRowHeight="15.75" customHeight="1" x14ac:dyDescent="0.15"/>
  <cols>
    <col min="1" max="1" width="1.1640625" customWidth="1"/>
    <col min="2" max="2" width="4.1640625" customWidth="1"/>
    <col min="3" max="3" width="16.1640625" style="25" customWidth="1"/>
    <col min="4" max="4" width="26" customWidth="1"/>
    <col min="5" max="5" width="12.1640625" customWidth="1"/>
    <col min="6" max="6" width="36" customWidth="1"/>
    <col min="7" max="7" width="11.6640625" customWidth="1"/>
    <col min="8" max="8" width="11.1640625" customWidth="1"/>
    <col min="9" max="9" width="14.1640625" customWidth="1"/>
    <col min="10" max="10" width="10.5" customWidth="1"/>
    <col min="11" max="11" width="8.6640625" customWidth="1"/>
    <col min="12" max="12" width="8.83203125" customWidth="1"/>
    <col min="13" max="13" width="8.6640625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16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16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>
        <v>5</v>
      </c>
      <c r="C7" s="13" t="s">
        <v>108</v>
      </c>
      <c r="D7" s="14" t="s">
        <v>109</v>
      </c>
      <c r="E7" s="14" t="s">
        <v>110</v>
      </c>
      <c r="F7" s="7" t="s">
        <v>111</v>
      </c>
      <c r="G7" s="8" t="s">
        <v>15</v>
      </c>
      <c r="H7" s="7" t="s">
        <v>112</v>
      </c>
      <c r="I7" s="7" t="s">
        <v>144</v>
      </c>
      <c r="J7" s="10" t="s">
        <v>17</v>
      </c>
      <c r="K7" s="11">
        <v>45</v>
      </c>
      <c r="L7" s="11">
        <v>19.899999999999999</v>
      </c>
      <c r="M7" s="12">
        <f t="shared" ref="M7:M21" si="1">K7-L7</f>
        <v>25.1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6</v>
      </c>
      <c r="C8" s="13" t="s">
        <v>79</v>
      </c>
      <c r="D8" s="14" t="s">
        <v>80</v>
      </c>
      <c r="E8" s="14" t="s">
        <v>81</v>
      </c>
      <c r="F8" s="7" t="s">
        <v>82</v>
      </c>
      <c r="G8" s="8" t="s">
        <v>15</v>
      </c>
      <c r="H8" s="7" t="s">
        <v>83</v>
      </c>
      <c r="I8" s="7" t="s">
        <v>23</v>
      </c>
      <c r="J8" s="10" t="s">
        <v>17</v>
      </c>
      <c r="K8" s="11">
        <v>59.9</v>
      </c>
      <c r="L8" s="11">
        <v>19.899999999999999</v>
      </c>
      <c r="M8" s="12">
        <f t="shared" si="1"/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7</v>
      </c>
      <c r="C9" s="6" t="s">
        <v>18</v>
      </c>
      <c r="D9" s="7" t="s">
        <v>19</v>
      </c>
      <c r="E9" s="7" t="s">
        <v>20</v>
      </c>
      <c r="F9" s="8" t="s">
        <v>21</v>
      </c>
      <c r="G9" s="8" t="s">
        <v>15</v>
      </c>
      <c r="H9" s="8" t="s">
        <v>22</v>
      </c>
      <c r="I9" s="8" t="s">
        <v>23</v>
      </c>
      <c r="J9" s="10" t="s">
        <v>17</v>
      </c>
      <c r="K9" s="11">
        <v>59.9</v>
      </c>
      <c r="L9" s="11">
        <v>19.899999999999999</v>
      </c>
      <c r="M9" s="12">
        <f t="shared" si="1"/>
        <v>40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8</v>
      </c>
      <c r="C10" s="6" t="s">
        <v>24</v>
      </c>
      <c r="D10" s="7" t="s">
        <v>25</v>
      </c>
      <c r="E10" s="7" t="s">
        <v>20</v>
      </c>
      <c r="F10" s="8" t="s">
        <v>26</v>
      </c>
      <c r="G10" s="8" t="s">
        <v>15</v>
      </c>
      <c r="H10" s="8" t="s">
        <v>22</v>
      </c>
      <c r="I10" s="8" t="s">
        <v>23</v>
      </c>
      <c r="J10" s="10" t="s">
        <v>17</v>
      </c>
      <c r="K10" s="11">
        <v>59.9</v>
      </c>
      <c r="L10" s="11">
        <v>19.899999999999999</v>
      </c>
      <c r="M10" s="12">
        <f t="shared" si="1"/>
        <v>40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9</v>
      </c>
      <c r="C11" s="6" t="s">
        <v>33</v>
      </c>
      <c r="D11" s="7" t="s">
        <v>34</v>
      </c>
      <c r="E11" s="7" t="s">
        <v>35</v>
      </c>
      <c r="F11" s="8" t="s">
        <v>36</v>
      </c>
      <c r="G11" s="8" t="s">
        <v>37</v>
      </c>
      <c r="H11" s="7" t="s">
        <v>38</v>
      </c>
      <c r="I11" s="7" t="s">
        <v>23</v>
      </c>
      <c r="J11" s="10" t="s">
        <v>17</v>
      </c>
      <c r="K11" s="11">
        <v>59.9</v>
      </c>
      <c r="L11" s="11">
        <v>19.899999999999999</v>
      </c>
      <c r="M11" s="12">
        <f t="shared" si="1"/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10</v>
      </c>
      <c r="C12" s="13" t="s">
        <v>45</v>
      </c>
      <c r="D12" s="14" t="s">
        <v>46</v>
      </c>
      <c r="E12" s="14" t="s">
        <v>47</v>
      </c>
      <c r="F12" s="7" t="s">
        <v>48</v>
      </c>
      <c r="G12" s="8" t="s">
        <v>15</v>
      </c>
      <c r="H12" s="7" t="s">
        <v>49</v>
      </c>
      <c r="I12" s="7" t="s">
        <v>23</v>
      </c>
      <c r="J12" s="10" t="s">
        <v>17</v>
      </c>
      <c r="K12" s="11">
        <v>79.900000000000006</v>
      </c>
      <c r="L12" s="11">
        <v>19.899999999999999</v>
      </c>
      <c r="M12" s="12">
        <f t="shared" si="1"/>
        <v>60.000000000000007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11</v>
      </c>
      <c r="C13" s="13" t="s">
        <v>50</v>
      </c>
      <c r="D13" s="14" t="s">
        <v>51</v>
      </c>
      <c r="E13" s="14" t="s">
        <v>52</v>
      </c>
      <c r="F13" s="7" t="s">
        <v>53</v>
      </c>
      <c r="G13" s="8" t="s">
        <v>15</v>
      </c>
      <c r="H13" s="7" t="s">
        <v>54</v>
      </c>
      <c r="I13" s="7" t="s">
        <v>23</v>
      </c>
      <c r="J13" s="10" t="s">
        <v>17</v>
      </c>
      <c r="K13" s="11">
        <v>59.9</v>
      </c>
      <c r="L13" s="11">
        <v>19.899999999999999</v>
      </c>
      <c r="M13" s="12">
        <f t="shared" si="1"/>
        <v>40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>
        <v>12</v>
      </c>
      <c r="C14" s="13" t="s">
        <v>55</v>
      </c>
      <c r="D14" s="14" t="s">
        <v>56</v>
      </c>
      <c r="E14" s="14" t="s">
        <v>57</v>
      </c>
      <c r="F14" s="7" t="s">
        <v>58</v>
      </c>
      <c r="G14" s="8" t="s">
        <v>15</v>
      </c>
      <c r="H14" s="7" t="s">
        <v>59</v>
      </c>
      <c r="I14" s="7" t="s">
        <v>23</v>
      </c>
      <c r="J14" s="10" t="s">
        <v>17</v>
      </c>
      <c r="K14" s="11">
        <v>59.9</v>
      </c>
      <c r="L14" s="11">
        <v>19.899999999999999</v>
      </c>
      <c r="M14" s="12">
        <f t="shared" si="1"/>
        <v>40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13</v>
      </c>
      <c r="C15" s="13" t="s">
        <v>129</v>
      </c>
      <c r="D15" s="14" t="s">
        <v>130</v>
      </c>
      <c r="E15" s="14" t="s">
        <v>131</v>
      </c>
      <c r="F15" s="7" t="s">
        <v>132</v>
      </c>
      <c r="G15" s="8" t="s">
        <v>15</v>
      </c>
      <c r="H15" s="7" t="s">
        <v>133</v>
      </c>
      <c r="I15" s="7" t="s">
        <v>23</v>
      </c>
      <c r="J15" s="10" t="s">
        <v>17</v>
      </c>
      <c r="K15" s="11">
        <v>59.9</v>
      </c>
      <c r="L15" s="11">
        <v>19.899999999999999</v>
      </c>
      <c r="M15" s="12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14</v>
      </c>
      <c r="C16" s="13" t="s">
        <v>60</v>
      </c>
      <c r="D16" s="14" t="s">
        <v>61</v>
      </c>
      <c r="E16" s="14" t="s">
        <v>62</v>
      </c>
      <c r="F16" s="7" t="s">
        <v>63</v>
      </c>
      <c r="G16" s="8" t="s">
        <v>64</v>
      </c>
      <c r="H16" s="7" t="s">
        <v>65</v>
      </c>
      <c r="I16" s="7" t="s">
        <v>66</v>
      </c>
      <c r="J16" s="10" t="s">
        <v>17</v>
      </c>
      <c r="K16" s="11">
        <v>89.9</v>
      </c>
      <c r="L16" s="11">
        <v>19.899999999999999</v>
      </c>
      <c r="M16" s="12">
        <f t="shared" si="1"/>
        <v>70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15</v>
      </c>
      <c r="C17" s="13"/>
      <c r="D17" s="14" t="s">
        <v>61</v>
      </c>
      <c r="E17" s="14" t="s">
        <v>62</v>
      </c>
      <c r="F17" s="7" t="s">
        <v>145</v>
      </c>
      <c r="G17" s="8" t="s">
        <v>64</v>
      </c>
      <c r="H17" s="7" t="s">
        <v>65</v>
      </c>
      <c r="I17" s="7" t="s">
        <v>66</v>
      </c>
      <c r="J17" s="10" t="s">
        <v>17</v>
      </c>
      <c r="K17" s="11">
        <v>89.9</v>
      </c>
      <c r="L17" s="11">
        <v>19.899999999999999</v>
      </c>
      <c r="M17" s="12">
        <f t="shared" si="1"/>
        <v>70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16</v>
      </c>
      <c r="C18" s="13" t="s">
        <v>73</v>
      </c>
      <c r="D18" s="14" t="s">
        <v>74</v>
      </c>
      <c r="E18" s="14" t="s">
        <v>75</v>
      </c>
      <c r="F18" s="7" t="s">
        <v>76</v>
      </c>
      <c r="G18" s="8" t="s">
        <v>77</v>
      </c>
      <c r="H18" s="7" t="s">
        <v>78</v>
      </c>
      <c r="I18" s="7" t="s">
        <v>66</v>
      </c>
      <c r="J18" s="10" t="s">
        <v>17</v>
      </c>
      <c r="K18" s="11">
        <v>59.9</v>
      </c>
      <c r="L18" s="11">
        <v>19.899999999999999</v>
      </c>
      <c r="M18" s="12">
        <f t="shared" si="1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/>
      <c r="C19" s="13" t="s">
        <v>89</v>
      </c>
      <c r="D19" s="14" t="s">
        <v>90</v>
      </c>
      <c r="E19" s="14" t="s">
        <v>91</v>
      </c>
      <c r="F19" s="7" t="s">
        <v>92</v>
      </c>
      <c r="G19" s="8" t="s">
        <v>15</v>
      </c>
      <c r="H19" s="7" t="s">
        <v>93</v>
      </c>
      <c r="I19" s="7" t="s">
        <v>66</v>
      </c>
      <c r="J19" s="26"/>
      <c r="K19" s="11">
        <v>59.9</v>
      </c>
      <c r="L19" s="11">
        <v>19.899999999999999</v>
      </c>
      <c r="M19" s="12">
        <f t="shared" si="1"/>
        <v>40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2">
      <c r="A20" s="1"/>
      <c r="C20" s="24" t="s">
        <v>101</v>
      </c>
      <c r="D20" s="14" t="s">
        <v>102</v>
      </c>
      <c r="E20" s="14" t="s">
        <v>103</v>
      </c>
      <c r="F20" s="16" t="s">
        <v>104</v>
      </c>
      <c r="G20" s="8" t="s">
        <v>15</v>
      </c>
      <c r="H20" s="7" t="s">
        <v>105</v>
      </c>
      <c r="I20" s="7" t="s">
        <v>66</v>
      </c>
      <c r="J20" s="10" t="s">
        <v>17</v>
      </c>
      <c r="K20" s="11">
        <v>39.9</v>
      </c>
      <c r="L20" s="11">
        <v>19.899999999999999</v>
      </c>
      <c r="M20" s="12">
        <f t="shared" si="1"/>
        <v>20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2">
      <c r="A21" s="1"/>
      <c r="C21" s="24" t="s">
        <v>106</v>
      </c>
      <c r="D21" s="14" t="s">
        <v>102</v>
      </c>
      <c r="E21" s="14" t="s">
        <v>103</v>
      </c>
      <c r="F21" s="16" t="s">
        <v>107</v>
      </c>
      <c r="G21" s="8" t="s">
        <v>15</v>
      </c>
      <c r="H21" s="7" t="s">
        <v>105</v>
      </c>
      <c r="I21" s="7" t="s">
        <v>66</v>
      </c>
      <c r="J21" s="10" t="s">
        <v>17</v>
      </c>
      <c r="K21" s="11">
        <v>39.9</v>
      </c>
      <c r="L21" s="11">
        <v>19.899999999999999</v>
      </c>
      <c r="M21" s="12">
        <f t="shared" si="1"/>
        <v>20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B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B23" s="1"/>
      <c r="C23" s="13" t="s">
        <v>67</v>
      </c>
      <c r="D23" s="14" t="s">
        <v>68</v>
      </c>
      <c r="E23" s="14" t="s">
        <v>69</v>
      </c>
      <c r="F23" s="7" t="s">
        <v>70</v>
      </c>
      <c r="G23" s="8" t="s">
        <v>71</v>
      </c>
      <c r="H23" s="7" t="s">
        <v>72</v>
      </c>
      <c r="I23" s="7" t="s">
        <v>66</v>
      </c>
      <c r="J23" s="18" t="s">
        <v>113</v>
      </c>
      <c r="K23" s="11"/>
      <c r="L23" s="11"/>
      <c r="M23" s="12">
        <f>K23-L23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15">
      <c r="A24" s="1"/>
      <c r="B24" s="1"/>
      <c r="C24" s="6" t="s">
        <v>39</v>
      </c>
      <c r="D24" s="7" t="s">
        <v>40</v>
      </c>
      <c r="E24" s="7" t="s">
        <v>41</v>
      </c>
      <c r="F24" s="8" t="s">
        <v>42</v>
      </c>
      <c r="G24" s="8" t="s">
        <v>43</v>
      </c>
      <c r="H24" s="7" t="s">
        <v>44</v>
      </c>
      <c r="I24" s="7" t="s">
        <v>23</v>
      </c>
      <c r="J24" s="18" t="s">
        <v>113</v>
      </c>
      <c r="K24" s="11"/>
      <c r="L24" s="11"/>
      <c r="M24" s="12">
        <f>K24-L24</f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15">
      <c r="A25" s="1"/>
      <c r="B25" s="1"/>
      <c r="C25" s="6" t="s">
        <v>27</v>
      </c>
      <c r="D25" s="7" t="s">
        <v>28</v>
      </c>
      <c r="E25" s="7" t="s">
        <v>29</v>
      </c>
      <c r="F25" s="8" t="s">
        <v>30</v>
      </c>
      <c r="G25" s="8" t="s">
        <v>31</v>
      </c>
      <c r="H25" s="8" t="s">
        <v>32</v>
      </c>
      <c r="I25" s="8" t="s">
        <v>23</v>
      </c>
      <c r="J25" s="18" t="s">
        <v>113</v>
      </c>
      <c r="K25" s="11"/>
      <c r="L25" s="11"/>
      <c r="M25" s="12">
        <f>K25-L25</f>
        <v>0</v>
      </c>
      <c r="N25" s="1"/>
      <c r="O25" s="1" t="s">
        <v>144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15">
      <c r="A26" s="1"/>
      <c r="B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B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K28" s="19">
        <f>SUM(K3:K27)</f>
        <v>923.5999999999998</v>
      </c>
      <c r="L28" s="19">
        <f>SUM(L3:L27)</f>
        <v>378.09999999999991</v>
      </c>
      <c r="M28" s="19">
        <f>SUM(M3:M27)</f>
        <v>545.5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EFBA-2BC7-AC4D-A391-98A2D90EB913}">
  <dimension ref="A1:AC1001"/>
  <sheetViews>
    <sheetView showGridLines="0" zoomScale="130" zoomScaleNormal="130" workbookViewId="0">
      <selection activeCell="D39" sqref="D39"/>
    </sheetView>
  </sheetViews>
  <sheetFormatPr baseColWidth="10" defaultColWidth="12.6640625" defaultRowHeight="13" x14ac:dyDescent="0.15"/>
  <cols>
    <col min="1" max="1" width="1.1640625" customWidth="1"/>
    <col min="2" max="2" width="4.1640625" customWidth="1"/>
    <col min="3" max="3" width="16.1640625" style="25" customWidth="1"/>
    <col min="4" max="4" width="26" customWidth="1"/>
    <col min="5" max="5" width="12.1640625" customWidth="1"/>
    <col min="6" max="6" width="36" style="31" customWidth="1"/>
    <col min="7" max="7" width="11.6640625" customWidth="1"/>
    <col min="8" max="8" width="11.1640625" customWidth="1"/>
    <col min="9" max="9" width="14.1640625" customWidth="1"/>
    <col min="10" max="10" width="10.5" customWidth="1"/>
    <col min="11" max="11" width="9.1640625" bestFit="1" customWidth="1"/>
    <col min="12" max="12" width="8.83203125" customWidth="1"/>
    <col min="13" max="13" width="8.6640625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30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30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>
        <v>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6</v>
      </c>
      <c r="C8" s="6" t="s">
        <v>18</v>
      </c>
      <c r="D8" s="7" t="s">
        <v>19</v>
      </c>
      <c r="E8" s="7" t="s">
        <v>20</v>
      </c>
      <c r="F8" s="8" t="s">
        <v>21</v>
      </c>
      <c r="G8" s="8" t="s">
        <v>15</v>
      </c>
      <c r="H8" s="8" t="s">
        <v>22</v>
      </c>
      <c r="I8" s="8" t="s">
        <v>23</v>
      </c>
      <c r="J8" s="10" t="s">
        <v>17</v>
      </c>
      <c r="K8" s="11">
        <v>59.9</v>
      </c>
      <c r="L8" s="11">
        <v>19.899999999999999</v>
      </c>
      <c r="M8" s="12">
        <f t="shared" ref="M8:M21" si="1">K8-L8</f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7</v>
      </c>
      <c r="C9" s="6" t="s">
        <v>24</v>
      </c>
      <c r="D9" s="7" t="s">
        <v>25</v>
      </c>
      <c r="E9" s="7" t="s">
        <v>20</v>
      </c>
      <c r="F9" s="8" t="s">
        <v>26</v>
      </c>
      <c r="G9" s="8" t="s">
        <v>15</v>
      </c>
      <c r="H9" s="8" t="s">
        <v>22</v>
      </c>
      <c r="I9" s="8" t="s">
        <v>23</v>
      </c>
      <c r="J9" s="10" t="s">
        <v>17</v>
      </c>
      <c r="K9" s="11">
        <v>59.9</v>
      </c>
      <c r="L9" s="11">
        <v>19.899999999999999</v>
      </c>
      <c r="M9" s="12">
        <f t="shared" si="1"/>
        <v>40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8</v>
      </c>
      <c r="C10" s="13" t="s">
        <v>45</v>
      </c>
      <c r="D10" s="14" t="s">
        <v>46</v>
      </c>
      <c r="E10" s="14" t="s">
        <v>47</v>
      </c>
      <c r="F10" s="7" t="s">
        <v>48</v>
      </c>
      <c r="G10" s="8" t="s">
        <v>15</v>
      </c>
      <c r="H10" s="7" t="s">
        <v>49</v>
      </c>
      <c r="I10" s="7" t="s">
        <v>23</v>
      </c>
      <c r="J10" s="10" t="s">
        <v>17</v>
      </c>
      <c r="K10" s="11">
        <v>79.900000000000006</v>
      </c>
      <c r="L10" s="11">
        <v>19.899999999999999</v>
      </c>
      <c r="M10" s="12">
        <f t="shared" si="1"/>
        <v>60.000000000000007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9</v>
      </c>
      <c r="C11" s="13" t="s">
        <v>153</v>
      </c>
      <c r="D11" s="14"/>
      <c r="E11" s="14"/>
      <c r="F11" s="7" t="s">
        <v>155</v>
      </c>
      <c r="G11" s="8" t="s">
        <v>15</v>
      </c>
      <c r="H11" s="7"/>
      <c r="I11" s="7" t="s">
        <v>23</v>
      </c>
      <c r="J11" s="10" t="s">
        <v>17</v>
      </c>
      <c r="K11" s="11">
        <v>59.9</v>
      </c>
      <c r="L11" s="11">
        <v>19.899999999999999</v>
      </c>
      <c r="M11" s="12">
        <f t="shared" si="1"/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10</v>
      </c>
      <c r="C12" s="13" t="s">
        <v>154</v>
      </c>
      <c r="D12" s="14"/>
      <c r="E12" s="14"/>
      <c r="F12" s="7" t="s">
        <v>156</v>
      </c>
      <c r="G12" s="8" t="s">
        <v>15</v>
      </c>
      <c r="H12" s="7"/>
      <c r="I12" s="7" t="s">
        <v>23</v>
      </c>
      <c r="J12" s="10" t="s">
        <v>17</v>
      </c>
      <c r="K12" s="11">
        <v>59.9</v>
      </c>
      <c r="L12" s="11">
        <v>19.899999999999999</v>
      </c>
      <c r="M12" s="12">
        <f t="shared" si="1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11</v>
      </c>
      <c r="C13" s="13" t="s">
        <v>157</v>
      </c>
      <c r="D13" s="14"/>
      <c r="E13" s="14"/>
      <c r="F13" s="7" t="s">
        <v>158</v>
      </c>
      <c r="G13" s="8" t="s">
        <v>64</v>
      </c>
      <c r="H13" s="7" t="s">
        <v>159</v>
      </c>
      <c r="I13" s="7" t="s">
        <v>23</v>
      </c>
      <c r="J13" s="10" t="s">
        <v>17</v>
      </c>
      <c r="K13" s="11">
        <v>59.9</v>
      </c>
      <c r="L13" s="11">
        <v>19.899999999999999</v>
      </c>
      <c r="M13" s="12">
        <f t="shared" si="1"/>
        <v>40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>
        <v>12</v>
      </c>
      <c r="C14" s="13" t="s">
        <v>50</v>
      </c>
      <c r="D14" s="14" t="s">
        <v>51</v>
      </c>
      <c r="E14" s="14" t="s">
        <v>52</v>
      </c>
      <c r="F14" s="7" t="s">
        <v>53</v>
      </c>
      <c r="G14" s="8" t="s">
        <v>15</v>
      </c>
      <c r="H14" s="7" t="s">
        <v>54</v>
      </c>
      <c r="I14" s="7" t="s">
        <v>23</v>
      </c>
      <c r="J14" s="10" t="s">
        <v>17</v>
      </c>
      <c r="K14" s="11">
        <v>59.9</v>
      </c>
      <c r="L14" s="11">
        <v>19.899999999999999</v>
      </c>
      <c r="M14" s="12">
        <f t="shared" si="1"/>
        <v>40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13</v>
      </c>
      <c r="C15" s="13" t="s">
        <v>55</v>
      </c>
      <c r="D15" s="14" t="s">
        <v>56</v>
      </c>
      <c r="E15" s="14" t="s">
        <v>57</v>
      </c>
      <c r="F15" s="7" t="s">
        <v>58</v>
      </c>
      <c r="G15" s="8" t="s">
        <v>15</v>
      </c>
      <c r="H15" s="7" t="s">
        <v>59</v>
      </c>
      <c r="I15" s="7" t="s">
        <v>23</v>
      </c>
      <c r="J15" s="10" t="s">
        <v>17</v>
      </c>
      <c r="K15" s="11">
        <v>59.9</v>
      </c>
      <c r="L15" s="11">
        <v>19.899999999999999</v>
      </c>
      <c r="M15" s="12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14</v>
      </c>
      <c r="C16" s="13" t="s">
        <v>60</v>
      </c>
      <c r="D16" s="14" t="s">
        <v>61</v>
      </c>
      <c r="E16" s="14" t="s">
        <v>62</v>
      </c>
      <c r="F16" s="7" t="s">
        <v>63</v>
      </c>
      <c r="G16" s="8" t="s">
        <v>64</v>
      </c>
      <c r="H16" s="7" t="s">
        <v>65</v>
      </c>
      <c r="I16" s="7" t="s">
        <v>66</v>
      </c>
      <c r="J16" s="10" t="s">
        <v>17</v>
      </c>
      <c r="K16" s="11">
        <v>89.9</v>
      </c>
      <c r="L16" s="11">
        <v>19.899999999999999</v>
      </c>
      <c r="M16" s="12">
        <f t="shared" si="1"/>
        <v>70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15</v>
      </c>
      <c r="C17" s="13"/>
      <c r="D17" s="14" t="s">
        <v>61</v>
      </c>
      <c r="E17" s="14" t="s">
        <v>62</v>
      </c>
      <c r="F17" s="7" t="s">
        <v>145</v>
      </c>
      <c r="G17" s="8" t="s">
        <v>64</v>
      </c>
      <c r="H17" s="7" t="s">
        <v>65</v>
      </c>
      <c r="I17" s="7" t="s">
        <v>66</v>
      </c>
      <c r="J17" s="10" t="s">
        <v>17</v>
      </c>
      <c r="K17" s="11">
        <v>89.9</v>
      </c>
      <c r="L17" s="11">
        <v>19.899999999999999</v>
      </c>
      <c r="M17" s="12">
        <f t="shared" si="1"/>
        <v>70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16</v>
      </c>
      <c r="C18" s="13" t="s">
        <v>73</v>
      </c>
      <c r="D18" s="14" t="s">
        <v>74</v>
      </c>
      <c r="E18" s="14" t="s">
        <v>75</v>
      </c>
      <c r="F18" s="7" t="s">
        <v>76</v>
      </c>
      <c r="G18" s="8" t="s">
        <v>77</v>
      </c>
      <c r="H18" s="7" t="s">
        <v>78</v>
      </c>
      <c r="I18" s="7" t="s">
        <v>66</v>
      </c>
      <c r="J18" s="10" t="s">
        <v>17</v>
      </c>
      <c r="K18" s="11">
        <v>59.9</v>
      </c>
      <c r="L18" s="11">
        <v>19.899999999999999</v>
      </c>
      <c r="M18" s="12">
        <f t="shared" si="1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>
        <v>17</v>
      </c>
      <c r="C19" s="13" t="s">
        <v>89</v>
      </c>
      <c r="D19" s="14" t="s">
        <v>90</v>
      </c>
      <c r="E19" s="14" t="s">
        <v>91</v>
      </c>
      <c r="F19" s="7" t="s">
        <v>92</v>
      </c>
      <c r="G19" s="8" t="s">
        <v>15</v>
      </c>
      <c r="H19" s="7" t="s">
        <v>93</v>
      </c>
      <c r="I19" s="7" t="s">
        <v>66</v>
      </c>
      <c r="J19" s="10" t="s">
        <v>17</v>
      </c>
      <c r="K19" s="11">
        <v>59.9</v>
      </c>
      <c r="L19" s="11">
        <v>19.899999999999999</v>
      </c>
      <c r="M19" s="12">
        <f t="shared" si="1"/>
        <v>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2">
      <c r="A20" s="1"/>
      <c r="B20" s="1">
        <v>18</v>
      </c>
      <c r="C20" s="24" t="s">
        <v>101</v>
      </c>
      <c r="D20" s="14" t="s">
        <v>102</v>
      </c>
      <c r="E20" s="14" t="s">
        <v>103</v>
      </c>
      <c r="F20" s="30" t="s">
        <v>104</v>
      </c>
      <c r="G20" s="8" t="s">
        <v>15</v>
      </c>
      <c r="H20" s="7" t="s">
        <v>105</v>
      </c>
      <c r="I20" s="7" t="s">
        <v>66</v>
      </c>
      <c r="J20" s="10" t="s">
        <v>17</v>
      </c>
      <c r="K20" s="11">
        <v>39.9</v>
      </c>
      <c r="L20" s="11">
        <v>19.899999999999999</v>
      </c>
      <c r="M20" s="12">
        <f t="shared" si="1"/>
        <v>20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2">
      <c r="A21" s="1"/>
      <c r="B21" s="1">
        <v>19</v>
      </c>
      <c r="C21" s="24" t="s">
        <v>106</v>
      </c>
      <c r="D21" s="14" t="s">
        <v>102</v>
      </c>
      <c r="E21" s="14" t="s">
        <v>103</v>
      </c>
      <c r="F21" s="30" t="s">
        <v>107</v>
      </c>
      <c r="G21" s="8" t="s">
        <v>15</v>
      </c>
      <c r="H21" s="7" t="s">
        <v>105</v>
      </c>
      <c r="I21" s="7" t="s">
        <v>66</v>
      </c>
      <c r="J21" s="10" t="s">
        <v>17</v>
      </c>
      <c r="K21" s="11">
        <v>39.9</v>
      </c>
      <c r="L21" s="11">
        <v>19.899999999999999</v>
      </c>
      <c r="M21" s="12">
        <f t="shared" si="1"/>
        <v>20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2">
      <c r="A22" s="1"/>
      <c r="B22" s="1">
        <v>20</v>
      </c>
      <c r="C22" s="24" t="s">
        <v>146</v>
      </c>
      <c r="D22" s="14"/>
      <c r="E22" s="14"/>
      <c r="F22" s="8" t="s">
        <v>147</v>
      </c>
      <c r="G22" s="8" t="s">
        <v>77</v>
      </c>
      <c r="H22" s="7" t="s">
        <v>148</v>
      </c>
      <c r="I22" s="7" t="s">
        <v>66</v>
      </c>
      <c r="J22" s="10" t="s">
        <v>17</v>
      </c>
      <c r="K22" s="11">
        <v>69.900000000000006</v>
      </c>
      <c r="L22" s="11">
        <v>19.899999999999999</v>
      </c>
      <c r="M22" s="12">
        <f t="shared" ref="M22" si="2">K22-L22</f>
        <v>50.000000000000007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15">
      <c r="A24" s="1"/>
      <c r="B24" s="1">
        <v>21</v>
      </c>
      <c r="C24" s="13" t="s">
        <v>129</v>
      </c>
      <c r="D24" s="14" t="s">
        <v>130</v>
      </c>
      <c r="E24" s="14" t="s">
        <v>131</v>
      </c>
      <c r="F24" s="7" t="s">
        <v>132</v>
      </c>
      <c r="G24" s="8" t="s">
        <v>15</v>
      </c>
      <c r="H24" s="7" t="s">
        <v>133</v>
      </c>
      <c r="I24" s="7" t="s">
        <v>23</v>
      </c>
      <c r="J24" s="10" t="s">
        <v>17</v>
      </c>
      <c r="K24" s="11">
        <v>59.9</v>
      </c>
      <c r="L24" s="11">
        <v>19.899999999999999</v>
      </c>
      <c r="M24" s="12">
        <f>K24-L24</f>
        <v>40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15">
      <c r="A25" s="1"/>
      <c r="B25" s="1">
        <v>22</v>
      </c>
      <c r="C25" s="13" t="s">
        <v>149</v>
      </c>
      <c r="D25" s="14"/>
      <c r="E25" s="14" t="s">
        <v>131</v>
      </c>
      <c r="F25" s="7" t="s">
        <v>150</v>
      </c>
      <c r="G25" s="8" t="s">
        <v>15</v>
      </c>
      <c r="H25" s="7" t="s">
        <v>133</v>
      </c>
      <c r="I25" s="7" t="s">
        <v>23</v>
      </c>
      <c r="J25" s="10" t="s">
        <v>17</v>
      </c>
      <c r="K25" s="11">
        <v>89.9</v>
      </c>
      <c r="L25" s="11">
        <v>19.899999999999999</v>
      </c>
      <c r="M25" s="12">
        <f>K25-L25</f>
        <v>70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15">
      <c r="A26" s="1"/>
      <c r="B26" s="1">
        <v>23</v>
      </c>
      <c r="C26" s="13" t="s">
        <v>151</v>
      </c>
      <c r="D26" s="14"/>
      <c r="E26" s="14" t="s">
        <v>131</v>
      </c>
      <c r="F26" s="7" t="s">
        <v>152</v>
      </c>
      <c r="G26" s="8" t="s">
        <v>15</v>
      </c>
      <c r="H26" s="7" t="s">
        <v>133</v>
      </c>
      <c r="I26" s="7" t="s">
        <v>23</v>
      </c>
      <c r="J26" s="10" t="s">
        <v>17</v>
      </c>
      <c r="K26" s="11">
        <v>89.9</v>
      </c>
      <c r="L26" s="11">
        <v>19.899999999999999</v>
      </c>
      <c r="M26" s="12">
        <f>K26-L26</f>
        <v>70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B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C29" s="13" t="s">
        <v>108</v>
      </c>
      <c r="D29" s="14" t="s">
        <v>109</v>
      </c>
      <c r="E29" s="14" t="s">
        <v>110</v>
      </c>
      <c r="F29" s="7" t="s">
        <v>111</v>
      </c>
      <c r="G29" s="8" t="s">
        <v>15</v>
      </c>
      <c r="H29" s="7" t="s">
        <v>112</v>
      </c>
      <c r="I29" s="7" t="s">
        <v>144</v>
      </c>
      <c r="J29" s="18" t="s">
        <v>113</v>
      </c>
      <c r="K29" s="11">
        <v>45</v>
      </c>
      <c r="L29" s="11">
        <v>19.899999999999999</v>
      </c>
      <c r="M29" s="12">
        <f t="shared" ref="M29:M34" si="3">K29-L29</f>
        <v>25.1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C30" s="13" t="s">
        <v>79</v>
      </c>
      <c r="D30" s="14" t="s">
        <v>80</v>
      </c>
      <c r="E30" s="14" t="s">
        <v>81</v>
      </c>
      <c r="F30" s="7" t="s">
        <v>82</v>
      </c>
      <c r="G30" s="8" t="s">
        <v>15</v>
      </c>
      <c r="H30" s="7" t="s">
        <v>83</v>
      </c>
      <c r="I30" s="7" t="s">
        <v>23</v>
      </c>
      <c r="J30" s="18" t="s">
        <v>113</v>
      </c>
      <c r="K30" s="11"/>
      <c r="L30" s="11"/>
      <c r="M30" s="12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C31" s="6" t="s">
        <v>33</v>
      </c>
      <c r="D31" s="7" t="s">
        <v>34</v>
      </c>
      <c r="E31" s="7" t="s">
        <v>35</v>
      </c>
      <c r="F31" s="8" t="s">
        <v>36</v>
      </c>
      <c r="G31" s="8" t="s">
        <v>37</v>
      </c>
      <c r="H31" s="7" t="s">
        <v>38</v>
      </c>
      <c r="I31" s="7" t="s">
        <v>23</v>
      </c>
      <c r="J31" s="18" t="s">
        <v>113</v>
      </c>
      <c r="K31" s="11"/>
      <c r="L31" s="11"/>
      <c r="M31" s="12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C32" s="13" t="s">
        <v>67</v>
      </c>
      <c r="D32" s="14" t="s">
        <v>68</v>
      </c>
      <c r="E32" s="14" t="s">
        <v>69</v>
      </c>
      <c r="F32" s="7" t="s">
        <v>70</v>
      </c>
      <c r="G32" s="8" t="s">
        <v>71</v>
      </c>
      <c r="H32" s="7" t="s">
        <v>72</v>
      </c>
      <c r="I32" s="7" t="s">
        <v>66</v>
      </c>
      <c r="J32" s="18" t="s">
        <v>113</v>
      </c>
      <c r="K32" s="11"/>
      <c r="L32" s="11"/>
      <c r="M32" s="12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C33" s="6" t="s">
        <v>39</v>
      </c>
      <c r="D33" s="7" t="s">
        <v>40</v>
      </c>
      <c r="E33" s="7" t="s">
        <v>41</v>
      </c>
      <c r="F33" s="8" t="s">
        <v>42</v>
      </c>
      <c r="G33" s="8" t="s">
        <v>43</v>
      </c>
      <c r="H33" s="7" t="s">
        <v>44</v>
      </c>
      <c r="I33" s="7" t="s">
        <v>23</v>
      </c>
      <c r="J33" s="18" t="s">
        <v>113</v>
      </c>
      <c r="K33" s="11"/>
      <c r="L33" s="11"/>
      <c r="M33" s="12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C34" s="6" t="s">
        <v>27</v>
      </c>
      <c r="D34" s="7" t="s">
        <v>28</v>
      </c>
      <c r="E34" s="7" t="s">
        <v>29</v>
      </c>
      <c r="F34" s="8" t="s">
        <v>30</v>
      </c>
      <c r="G34" s="8" t="s">
        <v>31</v>
      </c>
      <c r="H34" s="8" t="s">
        <v>32</v>
      </c>
      <c r="I34" s="8" t="s">
        <v>23</v>
      </c>
      <c r="J34" s="18" t="s">
        <v>113</v>
      </c>
      <c r="K34" s="11"/>
      <c r="L34" s="11"/>
      <c r="M34" s="12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J35" s="10" t="s">
        <v>17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K37" s="19">
        <f>SUM(K3:K36)</f>
        <v>1233.1999999999998</v>
      </c>
      <c r="L37" s="19">
        <f>SUM(L3:L36)</f>
        <v>457.69999999999982</v>
      </c>
      <c r="M37" s="19">
        <f>SUM(M3:M36)</f>
        <v>775.5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F84C-7054-E245-8EAE-FE6BFF5B16DD}">
  <dimension ref="A1:AC998"/>
  <sheetViews>
    <sheetView showGridLines="0" zoomScale="138" workbookViewId="0">
      <selection sqref="A1:XFD1048576"/>
    </sheetView>
  </sheetViews>
  <sheetFormatPr baseColWidth="10" defaultColWidth="12.6640625" defaultRowHeight="13" x14ac:dyDescent="0.15"/>
  <cols>
    <col min="1" max="1" width="1.1640625" customWidth="1"/>
    <col min="2" max="2" width="4.1640625" customWidth="1"/>
    <col min="3" max="3" width="16.1640625" style="25" customWidth="1"/>
    <col min="4" max="4" width="27.83203125" bestFit="1" customWidth="1"/>
    <col min="5" max="5" width="13.1640625" bestFit="1" customWidth="1"/>
    <col min="6" max="6" width="38.5" style="31" bestFit="1" customWidth="1"/>
    <col min="7" max="7" width="8.83203125" bestFit="1" customWidth="1"/>
    <col min="8" max="8" width="11.5" bestFit="1" customWidth="1"/>
    <col min="9" max="9" width="11" bestFit="1" customWidth="1"/>
    <col min="10" max="10" width="9.5" bestFit="1" customWidth="1"/>
    <col min="11" max="11" width="9" bestFit="1" customWidth="1"/>
    <col min="12" max="13" width="7.6640625" bestFit="1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30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30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/>
      <c r="C7" s="5"/>
      <c r="D7" s="1"/>
      <c r="E7" s="1"/>
      <c r="F7" s="5"/>
      <c r="G7" s="27"/>
      <c r="H7" s="5"/>
      <c r="I7" s="32"/>
      <c r="J7" s="32"/>
      <c r="K7" s="29"/>
      <c r="L7" s="29"/>
      <c r="M7" s="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5</v>
      </c>
      <c r="C8" s="33" t="s">
        <v>129</v>
      </c>
      <c r="D8" s="34" t="s">
        <v>130</v>
      </c>
      <c r="E8" s="34" t="s">
        <v>131</v>
      </c>
      <c r="F8" s="35" t="s">
        <v>132</v>
      </c>
      <c r="G8" s="36" t="s">
        <v>15</v>
      </c>
      <c r="H8" s="35" t="s">
        <v>133</v>
      </c>
      <c r="I8" s="35" t="s">
        <v>23</v>
      </c>
      <c r="J8" s="10" t="s">
        <v>17</v>
      </c>
      <c r="K8" s="37">
        <v>59.9</v>
      </c>
      <c r="L8" s="37">
        <v>19.899999999999999</v>
      </c>
      <c r="M8" s="38">
        <f>K8-L8</f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6</v>
      </c>
      <c r="C9" s="39" t="s">
        <v>149</v>
      </c>
      <c r="D9" s="14"/>
      <c r="E9" s="14" t="s">
        <v>131</v>
      </c>
      <c r="F9" s="7" t="s">
        <v>150</v>
      </c>
      <c r="G9" s="8" t="s">
        <v>15</v>
      </c>
      <c r="H9" s="7" t="s">
        <v>133</v>
      </c>
      <c r="I9" s="7" t="s">
        <v>23</v>
      </c>
      <c r="J9" s="10" t="s">
        <v>17</v>
      </c>
      <c r="K9" s="11">
        <v>89.9</v>
      </c>
      <c r="L9" s="11">
        <v>19.899999999999999</v>
      </c>
      <c r="M9" s="40">
        <f>K9-L9</f>
        <v>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7</v>
      </c>
      <c r="C10" s="39" t="s">
        <v>151</v>
      </c>
      <c r="D10" s="14"/>
      <c r="E10" s="14" t="s">
        <v>131</v>
      </c>
      <c r="F10" s="7" t="s">
        <v>152</v>
      </c>
      <c r="G10" s="8" t="s">
        <v>15</v>
      </c>
      <c r="H10" s="7" t="s">
        <v>133</v>
      </c>
      <c r="I10" s="7" t="s">
        <v>23</v>
      </c>
      <c r="J10" s="26" t="s">
        <v>161</v>
      </c>
      <c r="K10" s="11">
        <v>89.9</v>
      </c>
      <c r="L10" s="11">
        <v>19.899999999999999</v>
      </c>
      <c r="M10" s="40">
        <f>K10-L10</f>
        <v>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8</v>
      </c>
      <c r="C11" s="48" t="s">
        <v>18</v>
      </c>
      <c r="D11" s="7" t="s">
        <v>19</v>
      </c>
      <c r="E11" s="7" t="s">
        <v>20</v>
      </c>
      <c r="F11" s="8" t="s">
        <v>21</v>
      </c>
      <c r="G11" s="8" t="s">
        <v>15</v>
      </c>
      <c r="H11" s="8" t="s">
        <v>22</v>
      </c>
      <c r="I11" s="8" t="s">
        <v>23</v>
      </c>
      <c r="J11" s="10" t="s">
        <v>17</v>
      </c>
      <c r="K11" s="11">
        <v>59.9</v>
      </c>
      <c r="L11" s="11">
        <v>19.899999999999999</v>
      </c>
      <c r="M11" s="40">
        <f t="shared" ref="M11:M26" si="1">K11-L11</f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9</v>
      </c>
      <c r="C12" s="48" t="s">
        <v>24</v>
      </c>
      <c r="D12" s="7" t="s">
        <v>25</v>
      </c>
      <c r="E12" s="7" t="s">
        <v>20</v>
      </c>
      <c r="F12" s="8" t="s">
        <v>26</v>
      </c>
      <c r="G12" s="8" t="s">
        <v>15</v>
      </c>
      <c r="H12" s="8" t="s">
        <v>22</v>
      </c>
      <c r="I12" s="8" t="s">
        <v>23</v>
      </c>
      <c r="J12" s="10" t="s">
        <v>17</v>
      </c>
      <c r="K12" s="11">
        <v>59.9</v>
      </c>
      <c r="L12" s="11">
        <v>19.899999999999999</v>
      </c>
      <c r="M12" s="40">
        <f t="shared" si="1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10</v>
      </c>
      <c r="C13" s="39" t="s">
        <v>45</v>
      </c>
      <c r="D13" s="14" t="s">
        <v>46</v>
      </c>
      <c r="E13" s="14" t="s">
        <v>47</v>
      </c>
      <c r="F13" s="7" t="s">
        <v>48</v>
      </c>
      <c r="G13" s="8" t="s">
        <v>15</v>
      </c>
      <c r="H13" s="7" t="s">
        <v>49</v>
      </c>
      <c r="I13" s="7" t="s">
        <v>23</v>
      </c>
      <c r="J13" s="10" t="s">
        <v>17</v>
      </c>
      <c r="K13" s="11">
        <v>79.900000000000006</v>
      </c>
      <c r="L13" s="11">
        <v>19.899999999999999</v>
      </c>
      <c r="M13" s="40">
        <f t="shared" si="1"/>
        <v>60.000000000000007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>
        <v>11</v>
      </c>
      <c r="C14" s="39" t="s">
        <v>153</v>
      </c>
      <c r="D14" s="14"/>
      <c r="E14" s="14"/>
      <c r="F14" s="7" t="s">
        <v>155</v>
      </c>
      <c r="G14" s="8" t="s">
        <v>15</v>
      </c>
      <c r="H14" s="7"/>
      <c r="I14" s="7" t="s">
        <v>23</v>
      </c>
      <c r="J14" s="10" t="s">
        <v>17</v>
      </c>
      <c r="K14" s="11">
        <v>59.9</v>
      </c>
      <c r="L14" s="11">
        <v>19.899999999999999</v>
      </c>
      <c r="M14" s="40">
        <f t="shared" si="1"/>
        <v>40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12</v>
      </c>
      <c r="C15" s="39" t="s">
        <v>154</v>
      </c>
      <c r="D15" s="14"/>
      <c r="E15" s="14"/>
      <c r="F15" s="7" t="s">
        <v>156</v>
      </c>
      <c r="G15" s="8" t="s">
        <v>15</v>
      </c>
      <c r="H15" s="7"/>
      <c r="I15" s="7" t="s">
        <v>23</v>
      </c>
      <c r="J15" s="10" t="s">
        <v>17</v>
      </c>
      <c r="K15" s="11">
        <v>59.9</v>
      </c>
      <c r="L15" s="11">
        <v>19.899999999999999</v>
      </c>
      <c r="M15" s="40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13</v>
      </c>
      <c r="C16" s="39" t="s">
        <v>157</v>
      </c>
      <c r="D16" s="14"/>
      <c r="E16" s="14"/>
      <c r="F16" s="7" t="s">
        <v>158</v>
      </c>
      <c r="G16" s="8" t="s">
        <v>64</v>
      </c>
      <c r="H16" s="7" t="s">
        <v>159</v>
      </c>
      <c r="I16" s="7" t="s">
        <v>23</v>
      </c>
      <c r="J16" s="10" t="s">
        <v>17</v>
      </c>
      <c r="K16" s="11">
        <v>59.9</v>
      </c>
      <c r="L16" s="11">
        <v>19.899999999999999</v>
      </c>
      <c r="M16" s="40">
        <f t="shared" si="1"/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14</v>
      </c>
      <c r="C17" s="39" t="s">
        <v>50</v>
      </c>
      <c r="D17" s="14" t="s">
        <v>51</v>
      </c>
      <c r="E17" s="14" t="s">
        <v>52</v>
      </c>
      <c r="F17" s="7" t="s">
        <v>53</v>
      </c>
      <c r="G17" s="8" t="s">
        <v>15</v>
      </c>
      <c r="H17" s="7" t="s">
        <v>54</v>
      </c>
      <c r="I17" s="7" t="s">
        <v>23</v>
      </c>
      <c r="J17" s="10" t="s">
        <v>17</v>
      </c>
      <c r="K17" s="11">
        <v>59.9</v>
      </c>
      <c r="L17" s="11">
        <v>19.899999999999999</v>
      </c>
      <c r="M17" s="40">
        <f t="shared" si="1"/>
        <v>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15</v>
      </c>
      <c r="C18" s="49" t="s">
        <v>55</v>
      </c>
      <c r="D18" s="43" t="s">
        <v>56</v>
      </c>
      <c r="E18" s="43" t="s">
        <v>57</v>
      </c>
      <c r="F18" s="45" t="s">
        <v>58</v>
      </c>
      <c r="G18" s="44" t="s">
        <v>15</v>
      </c>
      <c r="H18" s="45" t="s">
        <v>59</v>
      </c>
      <c r="I18" s="45" t="s">
        <v>23</v>
      </c>
      <c r="J18" s="10" t="s">
        <v>17</v>
      </c>
      <c r="K18" s="46">
        <v>59.9</v>
      </c>
      <c r="L18" s="46">
        <v>19.899999999999999</v>
      </c>
      <c r="M18" s="47">
        <f t="shared" si="1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/>
      <c r="C19" s="5"/>
      <c r="D19" s="1"/>
      <c r="E19" s="1"/>
      <c r="F19" s="5"/>
      <c r="G19" s="27"/>
      <c r="H19" s="5"/>
      <c r="I19" s="5"/>
      <c r="J19" s="5"/>
      <c r="K19" s="29"/>
      <c r="L19" s="29"/>
      <c r="M19" s="2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15">
      <c r="A20" s="1"/>
      <c r="B20" s="1">
        <v>16</v>
      </c>
      <c r="C20" s="33" t="s">
        <v>60</v>
      </c>
      <c r="D20" s="34" t="s">
        <v>61</v>
      </c>
      <c r="E20" s="34" t="s">
        <v>62</v>
      </c>
      <c r="F20" s="35" t="s">
        <v>63</v>
      </c>
      <c r="G20" s="36" t="s">
        <v>64</v>
      </c>
      <c r="H20" s="35" t="s">
        <v>65</v>
      </c>
      <c r="I20" s="35" t="s">
        <v>66</v>
      </c>
      <c r="J20" s="10" t="s">
        <v>17</v>
      </c>
      <c r="K20" s="37">
        <v>89.9</v>
      </c>
      <c r="L20" s="37">
        <v>19.899999999999999</v>
      </c>
      <c r="M20" s="38">
        <f t="shared" si="1"/>
        <v>70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15">
      <c r="A21" s="1"/>
      <c r="B21" s="1">
        <v>17</v>
      </c>
      <c r="C21" s="39"/>
      <c r="D21" s="14" t="s">
        <v>61</v>
      </c>
      <c r="E21" s="14" t="s">
        <v>62</v>
      </c>
      <c r="F21" s="7" t="s">
        <v>145</v>
      </c>
      <c r="G21" s="8" t="s">
        <v>64</v>
      </c>
      <c r="H21" s="7" t="s">
        <v>65</v>
      </c>
      <c r="I21" s="7" t="s">
        <v>66</v>
      </c>
      <c r="J21" s="10" t="s">
        <v>17</v>
      </c>
      <c r="K21" s="11">
        <v>89.9</v>
      </c>
      <c r="L21" s="11">
        <v>19.899999999999999</v>
      </c>
      <c r="M21" s="40">
        <f t="shared" si="1"/>
        <v>70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B22" s="1">
        <v>18</v>
      </c>
      <c r="C22" s="39" t="s">
        <v>73</v>
      </c>
      <c r="D22" s="14" t="s">
        <v>74</v>
      </c>
      <c r="E22" s="14" t="s">
        <v>75</v>
      </c>
      <c r="F22" s="7" t="s">
        <v>76</v>
      </c>
      <c r="G22" s="8" t="s">
        <v>77</v>
      </c>
      <c r="H22" s="7" t="s">
        <v>78</v>
      </c>
      <c r="I22" s="7" t="s">
        <v>66</v>
      </c>
      <c r="J22" s="10" t="s">
        <v>17</v>
      </c>
      <c r="K22" s="11">
        <v>59.9</v>
      </c>
      <c r="L22" s="11">
        <v>19.899999999999999</v>
      </c>
      <c r="M22" s="40">
        <f t="shared" si="1"/>
        <v>40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B23" s="1">
        <v>19</v>
      </c>
      <c r="C23" s="39" t="s">
        <v>89</v>
      </c>
      <c r="D23" s="14" t="s">
        <v>90</v>
      </c>
      <c r="E23" s="14" t="s">
        <v>91</v>
      </c>
      <c r="F23" s="7" t="s">
        <v>92</v>
      </c>
      <c r="G23" s="8" t="s">
        <v>15</v>
      </c>
      <c r="H23" s="7" t="s">
        <v>93</v>
      </c>
      <c r="I23" s="7" t="s">
        <v>66</v>
      </c>
      <c r="J23" s="10" t="s">
        <v>17</v>
      </c>
      <c r="K23" s="11">
        <v>59.9</v>
      </c>
      <c r="L23" s="11">
        <v>19.899999999999999</v>
      </c>
      <c r="M23" s="40">
        <f t="shared" si="1"/>
        <v>40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2">
      <c r="A24" s="1"/>
      <c r="B24" s="1">
        <v>20</v>
      </c>
      <c r="C24" s="41" t="s">
        <v>101</v>
      </c>
      <c r="D24" s="14" t="s">
        <v>102</v>
      </c>
      <c r="E24" s="14" t="s">
        <v>103</v>
      </c>
      <c r="F24" s="30" t="s">
        <v>104</v>
      </c>
      <c r="G24" s="8" t="s">
        <v>15</v>
      </c>
      <c r="H24" s="7" t="s">
        <v>105</v>
      </c>
      <c r="I24" s="7" t="s">
        <v>66</v>
      </c>
      <c r="J24" s="10" t="s">
        <v>17</v>
      </c>
      <c r="K24" s="11">
        <v>39.9</v>
      </c>
      <c r="L24" s="11">
        <v>19.899999999999999</v>
      </c>
      <c r="M24" s="40">
        <f t="shared" si="1"/>
        <v>20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2">
      <c r="A25" s="1"/>
      <c r="B25" s="1">
        <v>21</v>
      </c>
      <c r="C25" s="41" t="s">
        <v>106</v>
      </c>
      <c r="D25" s="14" t="s">
        <v>102</v>
      </c>
      <c r="E25" s="14" t="s">
        <v>103</v>
      </c>
      <c r="F25" s="30" t="s">
        <v>107</v>
      </c>
      <c r="G25" s="8" t="s">
        <v>15</v>
      </c>
      <c r="H25" s="7" t="s">
        <v>105</v>
      </c>
      <c r="I25" s="7" t="s">
        <v>66</v>
      </c>
      <c r="J25" s="10" t="s">
        <v>17</v>
      </c>
      <c r="K25" s="11">
        <v>39.9</v>
      </c>
      <c r="L25" s="11">
        <v>19.899999999999999</v>
      </c>
      <c r="M25" s="40">
        <f t="shared" si="1"/>
        <v>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2">
      <c r="A26" s="1"/>
      <c r="B26" s="1">
        <v>22</v>
      </c>
      <c r="C26" s="42" t="s">
        <v>146</v>
      </c>
      <c r="D26" s="43"/>
      <c r="E26" s="43"/>
      <c r="F26" s="44" t="s">
        <v>147</v>
      </c>
      <c r="G26" s="44" t="s">
        <v>77</v>
      </c>
      <c r="H26" s="45" t="s">
        <v>148</v>
      </c>
      <c r="I26" s="45" t="s">
        <v>66</v>
      </c>
      <c r="J26" s="50" t="s">
        <v>113</v>
      </c>
      <c r="K26" s="46">
        <v>69.900000000000006</v>
      </c>
      <c r="L26" s="46">
        <v>19.899999999999999</v>
      </c>
      <c r="M26" s="47">
        <f t="shared" si="1"/>
        <v>50.000000000000007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C28" s="33"/>
      <c r="D28" s="34"/>
      <c r="E28" s="34"/>
      <c r="F28" s="35" t="s">
        <v>160</v>
      </c>
      <c r="G28" s="36"/>
      <c r="H28" s="35"/>
      <c r="I28" s="35"/>
      <c r="J28" s="10" t="s">
        <v>17</v>
      </c>
      <c r="K28" s="37">
        <v>89.9</v>
      </c>
      <c r="L28" s="37">
        <v>19.899999999999999</v>
      </c>
      <c r="M28" s="38">
        <f t="shared" ref="M28" si="2">K28-L28</f>
        <v>70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K34" s="19">
        <f>SUM(K3:K33)</f>
        <v>1278.1000000000001</v>
      </c>
      <c r="L34" s="19">
        <f>SUM(L3:L33)</f>
        <v>457.69999999999982</v>
      </c>
      <c r="M34" s="19">
        <f>SUM(M3:M33)</f>
        <v>820.4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1DA0-C3B5-E541-AF40-5478B8C7E3BB}">
  <dimension ref="A1:AC999"/>
  <sheetViews>
    <sheetView zoomScale="130" zoomScaleNormal="130" workbookViewId="0">
      <selection activeCell="J27" sqref="J27"/>
    </sheetView>
  </sheetViews>
  <sheetFormatPr baseColWidth="10" defaultColWidth="12.6640625" defaultRowHeight="13" x14ac:dyDescent="0.15"/>
  <cols>
    <col min="1" max="1" width="1.1640625" customWidth="1"/>
    <col min="2" max="2" width="4.1640625" customWidth="1"/>
    <col min="3" max="3" width="16.1640625" style="25" customWidth="1"/>
    <col min="4" max="4" width="27.83203125" bestFit="1" customWidth="1"/>
    <col min="5" max="5" width="13.1640625" bestFit="1" customWidth="1"/>
    <col min="6" max="6" width="38.5" style="31" bestFit="1" customWidth="1"/>
    <col min="7" max="7" width="8.83203125" bestFit="1" customWidth="1"/>
    <col min="8" max="8" width="11.5" bestFit="1" customWidth="1"/>
    <col min="9" max="9" width="11" bestFit="1" customWidth="1"/>
    <col min="10" max="10" width="9.5" bestFit="1" customWidth="1"/>
    <col min="11" max="11" width="9" bestFit="1" customWidth="1"/>
    <col min="12" max="13" width="7.6640625" bestFit="1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30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30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/>
      <c r="C7" s="5"/>
      <c r="D7" s="1"/>
      <c r="E7" s="1"/>
      <c r="F7" s="5"/>
      <c r="G7" s="27"/>
      <c r="H7" s="5"/>
      <c r="I7" s="32"/>
      <c r="J7" s="32"/>
      <c r="K7" s="29"/>
      <c r="L7" s="29"/>
      <c r="M7" s="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5</v>
      </c>
      <c r="C8" s="33" t="s">
        <v>129</v>
      </c>
      <c r="D8" s="34" t="s">
        <v>130</v>
      </c>
      <c r="E8" s="34" t="s">
        <v>131</v>
      </c>
      <c r="F8" s="35" t="s">
        <v>132</v>
      </c>
      <c r="G8" s="36" t="s">
        <v>15</v>
      </c>
      <c r="H8" s="35" t="s">
        <v>133</v>
      </c>
      <c r="I8" s="35" t="s">
        <v>23</v>
      </c>
      <c r="J8" s="10" t="s">
        <v>17</v>
      </c>
      <c r="K8" s="37">
        <v>59.9</v>
      </c>
      <c r="L8" s="37">
        <v>19.899999999999999</v>
      </c>
      <c r="M8" s="38">
        <f>K8-L8</f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6</v>
      </c>
      <c r="C9" s="39" t="s">
        <v>149</v>
      </c>
      <c r="D9" s="14"/>
      <c r="E9" s="14" t="s">
        <v>131</v>
      </c>
      <c r="F9" s="7" t="s">
        <v>150</v>
      </c>
      <c r="G9" s="8" t="s">
        <v>15</v>
      </c>
      <c r="H9" s="7" t="s">
        <v>133</v>
      </c>
      <c r="I9" s="7" t="s">
        <v>23</v>
      </c>
      <c r="J9" s="10" t="s">
        <v>17</v>
      </c>
      <c r="K9" s="11">
        <v>89.9</v>
      </c>
      <c r="L9" s="11">
        <v>19.899999999999999</v>
      </c>
      <c r="M9" s="40">
        <f>K9-L9</f>
        <v>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7</v>
      </c>
      <c r="C10" s="39" t="s">
        <v>151</v>
      </c>
      <c r="D10" s="14"/>
      <c r="E10" s="14" t="s">
        <v>131</v>
      </c>
      <c r="F10" s="7" t="s">
        <v>152</v>
      </c>
      <c r="G10" s="8" t="s">
        <v>15</v>
      </c>
      <c r="H10" s="7" t="s">
        <v>133</v>
      </c>
      <c r="I10" s="7" t="s">
        <v>23</v>
      </c>
      <c r="J10" s="10" t="s">
        <v>17</v>
      </c>
      <c r="K10" s="11">
        <v>89.9</v>
      </c>
      <c r="L10" s="11">
        <v>19.899999999999999</v>
      </c>
      <c r="M10" s="40">
        <f>K10-L10</f>
        <v>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8</v>
      </c>
      <c r="C11" s="48" t="s">
        <v>18</v>
      </c>
      <c r="D11" s="7" t="s">
        <v>19</v>
      </c>
      <c r="E11" s="7" t="s">
        <v>20</v>
      </c>
      <c r="F11" s="8" t="s">
        <v>21</v>
      </c>
      <c r="G11" s="8" t="s">
        <v>15</v>
      </c>
      <c r="H11" s="8" t="s">
        <v>22</v>
      </c>
      <c r="I11" s="8" t="s">
        <v>23</v>
      </c>
      <c r="J11" s="10" t="s">
        <v>17</v>
      </c>
      <c r="K11" s="11">
        <v>59.9</v>
      </c>
      <c r="L11" s="11">
        <v>19.899999999999999</v>
      </c>
      <c r="M11" s="40">
        <f t="shared" ref="M11:M27" si="1">K11-L11</f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9</v>
      </c>
      <c r="C12" s="48" t="s">
        <v>24</v>
      </c>
      <c r="D12" s="7" t="s">
        <v>25</v>
      </c>
      <c r="E12" s="7" t="s">
        <v>20</v>
      </c>
      <c r="F12" s="8" t="s">
        <v>26</v>
      </c>
      <c r="G12" s="8" t="s">
        <v>15</v>
      </c>
      <c r="H12" s="8" t="s">
        <v>22</v>
      </c>
      <c r="I12" s="8" t="s">
        <v>23</v>
      </c>
      <c r="J12" s="10" t="s">
        <v>17</v>
      </c>
      <c r="K12" s="11">
        <v>59.9</v>
      </c>
      <c r="L12" s="11">
        <v>19.899999999999999</v>
      </c>
      <c r="M12" s="40">
        <f t="shared" si="1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10</v>
      </c>
      <c r="C13" s="39" t="s">
        <v>45</v>
      </c>
      <c r="D13" s="14" t="s">
        <v>46</v>
      </c>
      <c r="E13" s="14" t="s">
        <v>47</v>
      </c>
      <c r="F13" s="7" t="s">
        <v>48</v>
      </c>
      <c r="G13" s="8" t="s">
        <v>15</v>
      </c>
      <c r="H13" s="7" t="s">
        <v>49</v>
      </c>
      <c r="I13" s="7" t="s">
        <v>23</v>
      </c>
      <c r="J13" s="10" t="s">
        <v>17</v>
      </c>
      <c r="K13" s="11">
        <v>79.900000000000006</v>
      </c>
      <c r="L13" s="11">
        <v>19.899999999999999</v>
      </c>
      <c r="M13" s="40">
        <f t="shared" si="1"/>
        <v>60.000000000000007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/>
      <c r="C14" s="39"/>
      <c r="D14" s="14"/>
      <c r="E14" s="14"/>
      <c r="F14" s="7" t="s">
        <v>163</v>
      </c>
      <c r="G14" s="8"/>
      <c r="H14" s="7"/>
      <c r="I14" s="7" t="s">
        <v>23</v>
      </c>
      <c r="J14" s="10" t="s">
        <v>17</v>
      </c>
      <c r="K14" s="11">
        <v>119.9</v>
      </c>
      <c r="L14" s="11">
        <v>19.899999999999999</v>
      </c>
      <c r="M14" s="40">
        <f t="shared" ref="M14" si="2">K14-L14</f>
        <v>100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11</v>
      </c>
      <c r="C15" s="39" t="s">
        <v>153</v>
      </c>
      <c r="D15" s="14"/>
      <c r="E15" s="14"/>
      <c r="F15" s="7" t="s">
        <v>155</v>
      </c>
      <c r="G15" s="8" t="s">
        <v>15</v>
      </c>
      <c r="H15" s="7"/>
      <c r="I15" s="7" t="s">
        <v>23</v>
      </c>
      <c r="J15" s="10" t="s">
        <v>17</v>
      </c>
      <c r="K15" s="11">
        <v>59.9</v>
      </c>
      <c r="L15" s="11">
        <v>19.899999999999999</v>
      </c>
      <c r="M15" s="40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12</v>
      </c>
      <c r="C16" s="39" t="s">
        <v>154</v>
      </c>
      <c r="D16" s="14"/>
      <c r="E16" s="14"/>
      <c r="F16" s="7" t="s">
        <v>156</v>
      </c>
      <c r="G16" s="8" t="s">
        <v>15</v>
      </c>
      <c r="H16" s="7"/>
      <c r="I16" s="7" t="s">
        <v>23</v>
      </c>
      <c r="J16" s="10" t="s">
        <v>17</v>
      </c>
      <c r="K16" s="11">
        <v>59.9</v>
      </c>
      <c r="L16" s="11">
        <v>19.899999999999999</v>
      </c>
      <c r="M16" s="40">
        <f t="shared" si="1"/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13</v>
      </c>
      <c r="C17" s="39" t="s">
        <v>157</v>
      </c>
      <c r="D17" s="14"/>
      <c r="E17" s="14"/>
      <c r="F17" s="7" t="s">
        <v>158</v>
      </c>
      <c r="G17" s="8" t="s">
        <v>64</v>
      </c>
      <c r="H17" s="7" t="s">
        <v>159</v>
      </c>
      <c r="I17" s="7" t="s">
        <v>23</v>
      </c>
      <c r="J17" s="10" t="s">
        <v>17</v>
      </c>
      <c r="K17" s="11">
        <v>59.9</v>
      </c>
      <c r="L17" s="11">
        <v>19.899999999999999</v>
      </c>
      <c r="M17" s="40">
        <f t="shared" si="1"/>
        <v>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14</v>
      </c>
      <c r="C18" s="39" t="s">
        <v>50</v>
      </c>
      <c r="D18" s="14" t="s">
        <v>51</v>
      </c>
      <c r="E18" s="14" t="s">
        <v>52</v>
      </c>
      <c r="F18" s="7" t="s">
        <v>53</v>
      </c>
      <c r="G18" s="8" t="s">
        <v>15</v>
      </c>
      <c r="H18" s="7" t="s">
        <v>54</v>
      </c>
      <c r="I18" s="7" t="s">
        <v>23</v>
      </c>
      <c r="J18" s="10" t="s">
        <v>17</v>
      </c>
      <c r="K18" s="11">
        <v>59.9</v>
      </c>
      <c r="L18" s="11">
        <v>19.899999999999999</v>
      </c>
      <c r="M18" s="40">
        <f t="shared" si="1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>
        <v>15</v>
      </c>
      <c r="C19" s="49" t="s">
        <v>55</v>
      </c>
      <c r="D19" s="43" t="s">
        <v>56</v>
      </c>
      <c r="E19" s="43" t="s">
        <v>57</v>
      </c>
      <c r="F19" s="45" t="s">
        <v>58</v>
      </c>
      <c r="G19" s="44" t="s">
        <v>15</v>
      </c>
      <c r="H19" s="45" t="s">
        <v>59</v>
      </c>
      <c r="I19" s="45" t="s">
        <v>23</v>
      </c>
      <c r="J19" s="10" t="s">
        <v>17</v>
      </c>
      <c r="K19" s="46">
        <v>59.9</v>
      </c>
      <c r="L19" s="46">
        <v>19.899999999999999</v>
      </c>
      <c r="M19" s="47">
        <f t="shared" si="1"/>
        <v>40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15">
      <c r="A20" s="1"/>
      <c r="B20" s="1"/>
      <c r="C20" s="5"/>
      <c r="D20" s="1"/>
      <c r="E20" s="1"/>
      <c r="F20" s="5"/>
      <c r="G20" s="27"/>
      <c r="H20" s="5"/>
      <c r="I20" s="5"/>
      <c r="J20" s="5"/>
      <c r="K20" s="29"/>
      <c r="L20" s="29"/>
      <c r="M20" s="2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15">
      <c r="A21" s="1"/>
      <c r="B21" s="1">
        <v>16</v>
      </c>
      <c r="C21" s="33" t="s">
        <v>60</v>
      </c>
      <c r="D21" s="34" t="s">
        <v>61</v>
      </c>
      <c r="E21" s="34" t="s">
        <v>62</v>
      </c>
      <c r="F21" s="35" t="s">
        <v>63</v>
      </c>
      <c r="G21" s="36" t="s">
        <v>64</v>
      </c>
      <c r="H21" s="35" t="s">
        <v>65</v>
      </c>
      <c r="I21" s="35" t="s">
        <v>66</v>
      </c>
      <c r="J21" s="10" t="s">
        <v>17</v>
      </c>
      <c r="K21" s="37">
        <v>89.9</v>
      </c>
      <c r="L21" s="37">
        <v>19.899999999999999</v>
      </c>
      <c r="M21" s="38">
        <f t="shared" si="1"/>
        <v>70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B22" s="1">
        <v>17</v>
      </c>
      <c r="C22" s="39"/>
      <c r="D22" s="14" t="s">
        <v>61</v>
      </c>
      <c r="E22" s="14" t="s">
        <v>62</v>
      </c>
      <c r="F22" s="7" t="s">
        <v>145</v>
      </c>
      <c r="G22" s="8" t="s">
        <v>64</v>
      </c>
      <c r="H22" s="7" t="s">
        <v>65</v>
      </c>
      <c r="I22" s="7" t="s">
        <v>66</v>
      </c>
      <c r="J22" s="10" t="s">
        <v>17</v>
      </c>
      <c r="K22" s="11">
        <v>89.9</v>
      </c>
      <c r="L22" s="11">
        <v>19.899999999999999</v>
      </c>
      <c r="M22" s="40">
        <f t="shared" si="1"/>
        <v>70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B23" s="1">
        <v>18</v>
      </c>
      <c r="C23" s="39" t="s">
        <v>73</v>
      </c>
      <c r="D23" s="14" t="s">
        <v>74</v>
      </c>
      <c r="E23" s="14" t="s">
        <v>75</v>
      </c>
      <c r="F23" s="7" t="s">
        <v>76</v>
      </c>
      <c r="G23" s="8" t="s">
        <v>77</v>
      </c>
      <c r="H23" s="7" t="s">
        <v>78</v>
      </c>
      <c r="I23" s="7" t="s">
        <v>66</v>
      </c>
      <c r="J23" s="10" t="s">
        <v>17</v>
      </c>
      <c r="K23" s="11">
        <v>59.9</v>
      </c>
      <c r="L23" s="11">
        <v>19.899999999999999</v>
      </c>
      <c r="M23" s="40">
        <f t="shared" si="1"/>
        <v>40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15">
      <c r="A24" s="1"/>
      <c r="B24" s="1">
        <v>19</v>
      </c>
      <c r="C24" s="39" t="s">
        <v>89</v>
      </c>
      <c r="D24" s="14" t="s">
        <v>90</v>
      </c>
      <c r="E24" s="14" t="s">
        <v>91</v>
      </c>
      <c r="F24" s="7" t="s">
        <v>92</v>
      </c>
      <c r="G24" s="8" t="s">
        <v>15</v>
      </c>
      <c r="H24" s="7" t="s">
        <v>93</v>
      </c>
      <c r="I24" s="7" t="s">
        <v>66</v>
      </c>
      <c r="J24" s="10" t="s">
        <v>17</v>
      </c>
      <c r="K24" s="11">
        <v>59.9</v>
      </c>
      <c r="L24" s="11">
        <v>19.899999999999999</v>
      </c>
      <c r="M24" s="40">
        <f t="shared" si="1"/>
        <v>40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2">
      <c r="A25" s="1"/>
      <c r="B25" s="1">
        <v>20</v>
      </c>
      <c r="C25" s="41" t="s">
        <v>101</v>
      </c>
      <c r="D25" s="14" t="s">
        <v>102</v>
      </c>
      <c r="E25" s="14" t="s">
        <v>103</v>
      </c>
      <c r="F25" s="30" t="s">
        <v>104</v>
      </c>
      <c r="G25" s="8" t="s">
        <v>15</v>
      </c>
      <c r="H25" s="7" t="s">
        <v>105</v>
      </c>
      <c r="I25" s="7" t="s">
        <v>66</v>
      </c>
      <c r="J25" s="10" t="s">
        <v>17</v>
      </c>
      <c r="K25" s="11">
        <v>39.9</v>
      </c>
      <c r="L25" s="11">
        <v>19.899999999999999</v>
      </c>
      <c r="M25" s="40">
        <f t="shared" si="1"/>
        <v>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2">
      <c r="A26" s="1"/>
      <c r="B26" s="1">
        <v>21</v>
      </c>
      <c r="C26" s="41" t="s">
        <v>106</v>
      </c>
      <c r="D26" s="14" t="s">
        <v>102</v>
      </c>
      <c r="E26" s="14" t="s">
        <v>103</v>
      </c>
      <c r="F26" s="30" t="s">
        <v>107</v>
      </c>
      <c r="G26" s="8" t="s">
        <v>15</v>
      </c>
      <c r="H26" s="7" t="s">
        <v>105</v>
      </c>
      <c r="I26" s="7" t="s">
        <v>66</v>
      </c>
      <c r="J26" s="10" t="s">
        <v>17</v>
      </c>
      <c r="K26" s="11">
        <v>39.9</v>
      </c>
      <c r="L26" s="11">
        <v>19.899999999999999</v>
      </c>
      <c r="M26" s="40">
        <f t="shared" si="1"/>
        <v>20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2">
      <c r="A27" s="1"/>
      <c r="B27" s="1">
        <v>22</v>
      </c>
      <c r="C27" s="42" t="s">
        <v>146</v>
      </c>
      <c r="D27" s="43"/>
      <c r="E27" s="43"/>
      <c r="F27" s="44" t="s">
        <v>147</v>
      </c>
      <c r="G27" s="44" t="s">
        <v>77</v>
      </c>
      <c r="H27" s="45" t="s">
        <v>148</v>
      </c>
      <c r="I27" s="45" t="s">
        <v>66</v>
      </c>
      <c r="J27" s="50" t="s">
        <v>113</v>
      </c>
      <c r="K27" s="46">
        <v>69.900000000000006</v>
      </c>
      <c r="L27" s="46">
        <v>19.899999999999999</v>
      </c>
      <c r="M27" s="47">
        <f t="shared" si="1"/>
        <v>50.000000000000007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C29" s="33"/>
      <c r="D29" s="34"/>
      <c r="E29" s="34"/>
      <c r="F29" s="35" t="s">
        <v>160</v>
      </c>
      <c r="G29" s="36"/>
      <c r="H29" s="35"/>
      <c r="I29" s="35"/>
      <c r="J29" s="10" t="s">
        <v>17</v>
      </c>
      <c r="K29" s="37">
        <v>89.9</v>
      </c>
      <c r="L29" s="37">
        <v>19.899999999999999</v>
      </c>
      <c r="M29" s="38">
        <f t="shared" ref="M29" si="3">K29-L29</f>
        <v>70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K35" s="19">
        <f>SUM(K3:K34)</f>
        <v>1398.0000000000005</v>
      </c>
      <c r="L35" s="19">
        <f>SUM(L3:L34)</f>
        <v>477.5999999999998</v>
      </c>
      <c r="M35" s="19">
        <f>SUM(M3:M34)</f>
        <v>920.4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92A0-70BF-D54C-BF38-1D7FBB95F5CF}">
  <dimension ref="A1:AC998"/>
  <sheetViews>
    <sheetView zoomScale="130" zoomScaleNormal="130" workbookViewId="0">
      <selection activeCell="J10" sqref="J10"/>
    </sheetView>
  </sheetViews>
  <sheetFormatPr baseColWidth="10" defaultColWidth="12.6640625" defaultRowHeight="13" x14ac:dyDescent="0.15"/>
  <cols>
    <col min="1" max="1" width="1.1640625" customWidth="1"/>
    <col min="2" max="2" width="4.1640625" customWidth="1"/>
    <col min="3" max="3" width="16.1640625" style="25" customWidth="1"/>
    <col min="4" max="4" width="27.83203125" bestFit="1" customWidth="1"/>
    <col min="5" max="5" width="13.1640625" bestFit="1" customWidth="1"/>
    <col min="6" max="6" width="38.5" style="31" bestFit="1" customWidth="1"/>
    <col min="7" max="7" width="8.83203125" bestFit="1" customWidth="1"/>
    <col min="8" max="8" width="11.5" bestFit="1" customWidth="1"/>
    <col min="9" max="9" width="11" bestFit="1" customWidth="1"/>
    <col min="10" max="10" width="9.5" bestFit="1" customWidth="1"/>
    <col min="11" max="11" width="9" bestFit="1" customWidth="1"/>
    <col min="12" max="13" width="7.6640625" bestFit="1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10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30" t="s">
        <v>97</v>
      </c>
      <c r="G4" s="8" t="s">
        <v>15</v>
      </c>
      <c r="H4" s="7" t="s">
        <v>98</v>
      </c>
      <c r="I4" s="17">
        <v>46323</v>
      </c>
      <c r="J4" s="10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30" t="s">
        <v>100</v>
      </c>
      <c r="G5" s="8" t="s">
        <v>15</v>
      </c>
      <c r="H5" s="7" t="s">
        <v>98</v>
      </c>
      <c r="I5" s="17">
        <v>46323</v>
      </c>
      <c r="J5" s="10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10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/>
      <c r="C7" s="5"/>
      <c r="D7" s="1"/>
      <c r="E7" s="1"/>
      <c r="F7" s="5"/>
      <c r="G7" s="27"/>
      <c r="H7" s="5"/>
      <c r="I7" s="32"/>
      <c r="J7" s="32"/>
      <c r="K7" s="29"/>
      <c r="L7" s="29"/>
      <c r="M7" s="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5</v>
      </c>
      <c r="C8" s="33" t="s">
        <v>129</v>
      </c>
      <c r="D8" s="34" t="s">
        <v>130</v>
      </c>
      <c r="E8" s="34" t="s">
        <v>131</v>
      </c>
      <c r="F8" s="35" t="s">
        <v>132</v>
      </c>
      <c r="G8" s="36" t="s">
        <v>15</v>
      </c>
      <c r="H8" s="35" t="s">
        <v>133</v>
      </c>
      <c r="I8" s="35" t="s">
        <v>23</v>
      </c>
      <c r="J8" s="10" t="s">
        <v>17</v>
      </c>
      <c r="K8" s="37">
        <v>59.9</v>
      </c>
      <c r="L8" s="37">
        <v>19.899999999999999</v>
      </c>
      <c r="M8" s="38">
        <f>K8-L8</f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6</v>
      </c>
      <c r="C9" s="39" t="s">
        <v>149</v>
      </c>
      <c r="D9" s="14"/>
      <c r="E9" s="14" t="s">
        <v>131</v>
      </c>
      <c r="F9" s="7" t="s">
        <v>150</v>
      </c>
      <c r="G9" s="8" t="s">
        <v>15</v>
      </c>
      <c r="H9" s="7" t="s">
        <v>133</v>
      </c>
      <c r="I9" s="7" t="s">
        <v>23</v>
      </c>
      <c r="J9" s="10" t="s">
        <v>17</v>
      </c>
      <c r="K9" s="11">
        <v>89.9</v>
      </c>
      <c r="L9" s="11">
        <v>19.899999999999999</v>
      </c>
      <c r="M9" s="40">
        <f>K9-L9</f>
        <v>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7</v>
      </c>
      <c r="C10" s="39" t="s">
        <v>151</v>
      </c>
      <c r="D10" s="14"/>
      <c r="E10" s="14" t="s">
        <v>131</v>
      </c>
      <c r="F10" s="7" t="s">
        <v>152</v>
      </c>
      <c r="G10" s="8" t="s">
        <v>15</v>
      </c>
      <c r="H10" s="7" t="s">
        <v>133</v>
      </c>
      <c r="I10" s="7" t="s">
        <v>23</v>
      </c>
      <c r="J10" s="26" t="s">
        <v>162</v>
      </c>
      <c r="K10" s="11">
        <v>89.9</v>
      </c>
      <c r="L10" s="11">
        <v>19.899999999999999</v>
      </c>
      <c r="M10" s="40">
        <f>K10-L10</f>
        <v>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8</v>
      </c>
      <c r="C11" s="48" t="s">
        <v>18</v>
      </c>
      <c r="D11" s="7" t="s">
        <v>19</v>
      </c>
      <c r="E11" s="7" t="s">
        <v>20</v>
      </c>
      <c r="F11" s="8" t="s">
        <v>21</v>
      </c>
      <c r="G11" s="8" t="s">
        <v>15</v>
      </c>
      <c r="H11" s="8" t="s">
        <v>22</v>
      </c>
      <c r="I11" s="8" t="s">
        <v>23</v>
      </c>
      <c r="J11" s="10" t="s">
        <v>17</v>
      </c>
      <c r="K11" s="11">
        <v>59.9</v>
      </c>
      <c r="L11" s="11">
        <v>19.899999999999999</v>
      </c>
      <c r="M11" s="40">
        <f t="shared" ref="M11:M26" si="1">K11-L11</f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9</v>
      </c>
      <c r="C12" s="48" t="s">
        <v>24</v>
      </c>
      <c r="D12" s="7" t="s">
        <v>25</v>
      </c>
      <c r="E12" s="7" t="s">
        <v>20</v>
      </c>
      <c r="F12" s="8" t="s">
        <v>26</v>
      </c>
      <c r="G12" s="8" t="s">
        <v>15</v>
      </c>
      <c r="H12" s="8" t="s">
        <v>22</v>
      </c>
      <c r="I12" s="8" t="s">
        <v>23</v>
      </c>
      <c r="J12" s="10" t="s">
        <v>17</v>
      </c>
      <c r="K12" s="11">
        <v>59.9</v>
      </c>
      <c r="L12" s="11">
        <v>19.899999999999999</v>
      </c>
      <c r="M12" s="40">
        <f t="shared" si="1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10</v>
      </c>
      <c r="C13" s="39" t="s">
        <v>45</v>
      </c>
      <c r="D13" s="14" t="s">
        <v>46</v>
      </c>
      <c r="E13" s="14" t="s">
        <v>47</v>
      </c>
      <c r="F13" s="7" t="s">
        <v>48</v>
      </c>
      <c r="G13" s="8" t="s">
        <v>15</v>
      </c>
      <c r="H13" s="7" t="s">
        <v>49</v>
      </c>
      <c r="I13" s="7" t="s">
        <v>23</v>
      </c>
      <c r="J13" s="10" t="s">
        <v>17</v>
      </c>
      <c r="K13" s="11">
        <v>79.900000000000006</v>
      </c>
      <c r="L13" s="11">
        <v>19.899999999999999</v>
      </c>
      <c r="M13" s="40">
        <f t="shared" si="1"/>
        <v>60.000000000000007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/>
      <c r="C14" s="39"/>
      <c r="D14" s="14"/>
      <c r="E14" s="14"/>
      <c r="F14" s="7" t="s">
        <v>163</v>
      </c>
      <c r="G14" s="8"/>
      <c r="H14" s="7"/>
      <c r="I14" s="7" t="s">
        <v>23</v>
      </c>
      <c r="J14" s="50" t="s">
        <v>113</v>
      </c>
      <c r="K14" s="11">
        <v>119.9</v>
      </c>
      <c r="L14" s="11">
        <v>19.899999999999999</v>
      </c>
      <c r="M14" s="40">
        <f t="shared" si="1"/>
        <v>100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11</v>
      </c>
      <c r="C15" s="39" t="s">
        <v>153</v>
      </c>
      <c r="D15" s="14"/>
      <c r="E15" s="14"/>
      <c r="F15" s="7" t="s">
        <v>155</v>
      </c>
      <c r="G15" s="8" t="s">
        <v>15</v>
      </c>
      <c r="H15" s="7"/>
      <c r="I15" s="7" t="s">
        <v>23</v>
      </c>
      <c r="J15" s="10" t="s">
        <v>17</v>
      </c>
      <c r="K15" s="11">
        <v>59.9</v>
      </c>
      <c r="L15" s="11">
        <v>19.899999999999999</v>
      </c>
      <c r="M15" s="40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12</v>
      </c>
      <c r="C16" s="39" t="s">
        <v>154</v>
      </c>
      <c r="D16" s="14"/>
      <c r="E16" s="14"/>
      <c r="F16" s="7" t="s">
        <v>156</v>
      </c>
      <c r="G16" s="8" t="s">
        <v>15</v>
      </c>
      <c r="H16" s="7"/>
      <c r="I16" s="7" t="s">
        <v>23</v>
      </c>
      <c r="J16" s="10" t="s">
        <v>17</v>
      </c>
      <c r="K16" s="11">
        <v>59.9</v>
      </c>
      <c r="L16" s="11">
        <v>19.899999999999999</v>
      </c>
      <c r="M16" s="40">
        <f t="shared" si="1"/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13</v>
      </c>
      <c r="C17" s="39" t="s">
        <v>157</v>
      </c>
      <c r="D17" s="14"/>
      <c r="E17" s="14"/>
      <c r="F17" s="7" t="s">
        <v>158</v>
      </c>
      <c r="G17" s="8" t="s">
        <v>64</v>
      </c>
      <c r="H17" s="7" t="s">
        <v>159</v>
      </c>
      <c r="I17" s="7" t="s">
        <v>23</v>
      </c>
      <c r="J17" s="10" t="s">
        <v>17</v>
      </c>
      <c r="K17" s="11">
        <v>59.9</v>
      </c>
      <c r="L17" s="11">
        <v>19.899999999999999</v>
      </c>
      <c r="M17" s="40">
        <f t="shared" si="1"/>
        <v>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14</v>
      </c>
      <c r="C18" s="39" t="s">
        <v>50</v>
      </c>
      <c r="D18" s="14" t="s">
        <v>51</v>
      </c>
      <c r="E18" s="14" t="s">
        <v>52</v>
      </c>
      <c r="F18" s="7" t="s">
        <v>53</v>
      </c>
      <c r="G18" s="8" t="s">
        <v>15</v>
      </c>
      <c r="H18" s="7" t="s">
        <v>54</v>
      </c>
      <c r="I18" s="7" t="s">
        <v>23</v>
      </c>
      <c r="J18" s="50" t="s">
        <v>113</v>
      </c>
      <c r="K18" s="11">
        <v>59.9</v>
      </c>
      <c r="L18" s="11">
        <v>19.899999999999999</v>
      </c>
      <c r="M18" s="40">
        <f t="shared" si="1"/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>
        <v>15</v>
      </c>
      <c r="C19" s="49" t="s">
        <v>55</v>
      </c>
      <c r="D19" s="43" t="s">
        <v>56</v>
      </c>
      <c r="E19" s="43" t="s">
        <v>57</v>
      </c>
      <c r="F19" s="45" t="s">
        <v>58</v>
      </c>
      <c r="G19" s="44" t="s">
        <v>15</v>
      </c>
      <c r="H19" s="45" t="s">
        <v>59</v>
      </c>
      <c r="I19" s="45" t="s">
        <v>23</v>
      </c>
      <c r="J19" s="10" t="s">
        <v>17</v>
      </c>
      <c r="K19" s="46">
        <v>59.9</v>
      </c>
      <c r="L19" s="46">
        <v>19.899999999999999</v>
      </c>
      <c r="M19" s="47">
        <f t="shared" si="1"/>
        <v>40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15">
      <c r="A20" s="1"/>
      <c r="B20" s="1"/>
      <c r="C20" s="5"/>
      <c r="D20" s="1"/>
      <c r="E20" s="1"/>
      <c r="F20" s="5"/>
      <c r="G20" s="27"/>
      <c r="H20" s="5"/>
      <c r="I20" s="5"/>
      <c r="J20" s="5"/>
      <c r="K20" s="29"/>
      <c r="L20" s="29"/>
      <c r="M20" s="2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15">
      <c r="A21" s="1"/>
      <c r="B21" s="1">
        <v>16</v>
      </c>
      <c r="C21" s="33" t="s">
        <v>60</v>
      </c>
      <c r="D21" s="34" t="s">
        <v>61</v>
      </c>
      <c r="E21" s="34" t="s">
        <v>62</v>
      </c>
      <c r="F21" s="35" t="s">
        <v>63</v>
      </c>
      <c r="G21" s="36" t="s">
        <v>64</v>
      </c>
      <c r="H21" s="35" t="s">
        <v>65</v>
      </c>
      <c r="I21" s="35" t="s">
        <v>66</v>
      </c>
      <c r="J21" s="10" t="s">
        <v>17</v>
      </c>
      <c r="K21" s="37">
        <v>89.9</v>
      </c>
      <c r="L21" s="37">
        <v>19.899999999999999</v>
      </c>
      <c r="M21" s="38">
        <f t="shared" si="1"/>
        <v>70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B22" s="1">
        <v>17</v>
      </c>
      <c r="C22" s="39"/>
      <c r="D22" s="14" t="s">
        <v>61</v>
      </c>
      <c r="E22" s="14" t="s">
        <v>62</v>
      </c>
      <c r="F22" s="7" t="s">
        <v>145</v>
      </c>
      <c r="G22" s="8" t="s">
        <v>64</v>
      </c>
      <c r="H22" s="7" t="s">
        <v>65</v>
      </c>
      <c r="I22" s="7" t="s">
        <v>66</v>
      </c>
      <c r="J22" s="10" t="s">
        <v>17</v>
      </c>
      <c r="K22" s="11">
        <v>89.9</v>
      </c>
      <c r="L22" s="11">
        <v>19.899999999999999</v>
      </c>
      <c r="M22" s="40">
        <f t="shared" si="1"/>
        <v>70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15">
      <c r="A23" s="1"/>
      <c r="B23" s="1">
        <v>18</v>
      </c>
      <c r="C23" s="39" t="s">
        <v>73</v>
      </c>
      <c r="D23" s="14" t="s">
        <v>74</v>
      </c>
      <c r="E23" s="14" t="s">
        <v>75</v>
      </c>
      <c r="F23" s="7" t="s">
        <v>76</v>
      </c>
      <c r="G23" s="8" t="s">
        <v>77</v>
      </c>
      <c r="H23" s="7" t="s">
        <v>78</v>
      </c>
      <c r="I23" s="7" t="s">
        <v>66</v>
      </c>
      <c r="J23" s="10" t="s">
        <v>17</v>
      </c>
      <c r="K23" s="11">
        <v>59.9</v>
      </c>
      <c r="L23" s="11">
        <v>19.899999999999999</v>
      </c>
      <c r="M23" s="40">
        <f t="shared" si="1"/>
        <v>40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15">
      <c r="A24" s="1"/>
      <c r="B24" s="1">
        <v>19</v>
      </c>
      <c r="C24" s="39" t="s">
        <v>89</v>
      </c>
      <c r="D24" s="14" t="s">
        <v>90</v>
      </c>
      <c r="E24" s="14" t="s">
        <v>91</v>
      </c>
      <c r="F24" s="7" t="s">
        <v>92</v>
      </c>
      <c r="G24" s="8" t="s">
        <v>15</v>
      </c>
      <c r="H24" s="7" t="s">
        <v>93</v>
      </c>
      <c r="I24" s="7" t="s">
        <v>66</v>
      </c>
      <c r="J24" s="10" t="s">
        <v>17</v>
      </c>
      <c r="K24" s="11">
        <v>59.9</v>
      </c>
      <c r="L24" s="11">
        <v>19.899999999999999</v>
      </c>
      <c r="M24" s="40">
        <f t="shared" si="1"/>
        <v>40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2">
      <c r="A25" s="1"/>
      <c r="B25" s="1">
        <v>20</v>
      </c>
      <c r="C25" s="41" t="s">
        <v>101</v>
      </c>
      <c r="D25" s="14" t="s">
        <v>102</v>
      </c>
      <c r="E25" s="14" t="s">
        <v>103</v>
      </c>
      <c r="F25" s="30" t="s">
        <v>104</v>
      </c>
      <c r="G25" s="8" t="s">
        <v>15</v>
      </c>
      <c r="H25" s="7" t="s">
        <v>105</v>
      </c>
      <c r="I25" s="7" t="s">
        <v>66</v>
      </c>
      <c r="J25" s="10" t="s">
        <v>17</v>
      </c>
      <c r="K25" s="11">
        <v>39.9</v>
      </c>
      <c r="L25" s="11">
        <v>19.899999999999999</v>
      </c>
      <c r="M25" s="40">
        <f t="shared" si="1"/>
        <v>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2">
      <c r="A26" s="1"/>
      <c r="B26" s="1">
        <v>21</v>
      </c>
      <c r="C26" s="41" t="s">
        <v>106</v>
      </c>
      <c r="D26" s="14" t="s">
        <v>102</v>
      </c>
      <c r="E26" s="14" t="s">
        <v>103</v>
      </c>
      <c r="F26" s="30" t="s">
        <v>107</v>
      </c>
      <c r="G26" s="8" t="s">
        <v>15</v>
      </c>
      <c r="H26" s="7" t="s">
        <v>105</v>
      </c>
      <c r="I26" s="7" t="s">
        <v>66</v>
      </c>
      <c r="J26" s="10" t="s">
        <v>17</v>
      </c>
      <c r="K26" s="11">
        <v>39.9</v>
      </c>
      <c r="L26" s="11">
        <v>19.899999999999999</v>
      </c>
      <c r="M26" s="40">
        <f t="shared" si="1"/>
        <v>20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C28" s="33"/>
      <c r="D28" s="34"/>
      <c r="E28" s="34"/>
      <c r="F28" s="35" t="s">
        <v>160</v>
      </c>
      <c r="G28" s="36"/>
      <c r="H28" s="35"/>
      <c r="I28" s="35"/>
      <c r="J28" s="10" t="s">
        <v>17</v>
      </c>
      <c r="K28" s="37">
        <v>89.9</v>
      </c>
      <c r="L28" s="37">
        <v>19.899999999999999</v>
      </c>
      <c r="M28" s="38">
        <f t="shared" ref="M28" si="2">K28-L28</f>
        <v>70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K34" s="19">
        <f>SUM(K3:K33)</f>
        <v>1328.1000000000004</v>
      </c>
      <c r="L34" s="19">
        <f>SUM(L3:L33)</f>
        <v>457.69999999999982</v>
      </c>
      <c r="M34" s="19">
        <f>SUM(M3:M33)</f>
        <v>870.4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BCB4-C959-5D42-A61A-6AA42885E15F}">
  <dimension ref="A1:AC996"/>
  <sheetViews>
    <sheetView showGridLines="0" zoomScale="140" zoomScaleNormal="140" workbookViewId="0">
      <selection activeCell="L29" sqref="L29"/>
    </sheetView>
  </sheetViews>
  <sheetFormatPr baseColWidth="10" defaultColWidth="12.6640625" defaultRowHeight="13" x14ac:dyDescent="0.15"/>
  <cols>
    <col min="1" max="1" width="1.1640625" customWidth="1"/>
    <col min="2" max="2" width="4.1640625" customWidth="1"/>
    <col min="3" max="3" width="16.1640625" style="25" customWidth="1"/>
    <col min="4" max="4" width="27.83203125" bestFit="1" customWidth="1"/>
    <col min="5" max="5" width="13.1640625" bestFit="1" customWidth="1"/>
    <col min="6" max="6" width="38.5" style="31" bestFit="1" customWidth="1"/>
    <col min="7" max="7" width="8.83203125" bestFit="1" customWidth="1"/>
    <col min="8" max="8" width="11.5" bestFit="1" customWidth="1"/>
    <col min="9" max="9" width="11" bestFit="1" customWidth="1"/>
    <col min="10" max="10" width="9.5" bestFit="1" customWidth="1"/>
    <col min="11" max="11" width="9" bestFit="1" customWidth="1"/>
    <col min="12" max="13" width="7.6640625" bestFit="1" customWidth="1"/>
    <col min="14" max="14" width="1.6640625" customWidth="1"/>
  </cols>
  <sheetData>
    <row r="1" spans="1:29" ht="6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 x14ac:dyDescent="0.15">
      <c r="A2" s="1"/>
      <c r="B2" s="2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 x14ac:dyDescent="0.15">
      <c r="A3" s="1"/>
      <c r="B3" s="1">
        <v>1</v>
      </c>
      <c r="C3" s="6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8" t="s">
        <v>16</v>
      </c>
      <c r="I3" s="9">
        <v>46315</v>
      </c>
      <c r="J3" s="51" t="s">
        <v>17</v>
      </c>
      <c r="K3" s="11"/>
      <c r="L3" s="11">
        <v>19.899999999999999</v>
      </c>
      <c r="M3" s="12">
        <f t="shared" ref="M3:M6" si="0">K3-L3</f>
        <v>-19.899999999999999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2">
      <c r="A4" s="1"/>
      <c r="B4" s="1">
        <v>2</v>
      </c>
      <c r="C4" s="24" t="s">
        <v>94</v>
      </c>
      <c r="D4" s="14" t="s">
        <v>95</v>
      </c>
      <c r="E4" s="14" t="s">
        <v>96</v>
      </c>
      <c r="F4" s="30" t="s">
        <v>97</v>
      </c>
      <c r="G4" s="8" t="s">
        <v>15</v>
      </c>
      <c r="H4" s="7" t="s">
        <v>98</v>
      </c>
      <c r="I4" s="17">
        <v>46323</v>
      </c>
      <c r="J4" s="51" t="s">
        <v>17</v>
      </c>
      <c r="K4" s="11"/>
      <c r="L4" s="11">
        <v>19.899999999999999</v>
      </c>
      <c r="M4" s="12">
        <f t="shared" si="0"/>
        <v>-19.899999999999999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 x14ac:dyDescent="0.2">
      <c r="A5" s="1"/>
      <c r="B5" s="1">
        <v>3</v>
      </c>
      <c r="C5" s="24" t="s">
        <v>99</v>
      </c>
      <c r="D5" s="14" t="s">
        <v>95</v>
      </c>
      <c r="E5" s="14" t="s">
        <v>96</v>
      </c>
      <c r="F5" s="30" t="s">
        <v>100</v>
      </c>
      <c r="G5" s="8" t="s">
        <v>15</v>
      </c>
      <c r="H5" s="7" t="s">
        <v>98</v>
      </c>
      <c r="I5" s="17">
        <v>46323</v>
      </c>
      <c r="J5" s="51" t="s">
        <v>17</v>
      </c>
      <c r="K5" s="11"/>
      <c r="L5" s="11">
        <v>19.899999999999999</v>
      </c>
      <c r="M5" s="12">
        <f t="shared" si="0"/>
        <v>-19.899999999999999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1"/>
      <c r="B6" s="1">
        <v>4</v>
      </c>
      <c r="C6" s="13" t="s">
        <v>84</v>
      </c>
      <c r="D6" s="14" t="s">
        <v>85</v>
      </c>
      <c r="E6" s="14" t="s">
        <v>86</v>
      </c>
      <c r="F6" s="7" t="s">
        <v>87</v>
      </c>
      <c r="G6" s="8" t="s">
        <v>15</v>
      </c>
      <c r="H6" s="7" t="s">
        <v>88</v>
      </c>
      <c r="I6" s="17">
        <v>46346</v>
      </c>
      <c r="J6" s="51" t="s">
        <v>17</v>
      </c>
      <c r="K6" s="11"/>
      <c r="L6" s="11">
        <v>19.899999999999999</v>
      </c>
      <c r="M6" s="12">
        <f t="shared" si="0"/>
        <v>-19.899999999999999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 x14ac:dyDescent="0.15">
      <c r="A7" s="1"/>
      <c r="B7" s="1"/>
      <c r="C7" s="5"/>
      <c r="D7" s="1"/>
      <c r="E7" s="1"/>
      <c r="F7" s="5"/>
      <c r="G7" s="27"/>
      <c r="H7" s="5"/>
      <c r="I7" s="32"/>
      <c r="J7" s="32"/>
      <c r="K7" s="29"/>
      <c r="L7" s="29"/>
      <c r="M7" s="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 x14ac:dyDescent="0.15">
      <c r="A8" s="1"/>
      <c r="B8" s="1">
        <v>5</v>
      </c>
      <c r="C8" s="33" t="s">
        <v>129</v>
      </c>
      <c r="D8" s="34" t="s">
        <v>130</v>
      </c>
      <c r="E8" s="34" t="s">
        <v>131</v>
      </c>
      <c r="F8" s="35" t="s">
        <v>132</v>
      </c>
      <c r="G8" s="36" t="s">
        <v>15</v>
      </c>
      <c r="H8" s="35" t="s">
        <v>133</v>
      </c>
      <c r="I8" s="35" t="s">
        <v>23</v>
      </c>
      <c r="J8" s="51" t="s">
        <v>17</v>
      </c>
      <c r="K8" s="37">
        <v>59.9</v>
      </c>
      <c r="L8" s="37">
        <v>19.899999999999999</v>
      </c>
      <c r="M8" s="38">
        <f>K8-L8</f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 x14ac:dyDescent="0.15">
      <c r="A9" s="1"/>
      <c r="B9" s="1">
        <v>6</v>
      </c>
      <c r="C9" s="39" t="s">
        <v>149</v>
      </c>
      <c r="D9" s="14"/>
      <c r="E9" s="14" t="s">
        <v>131</v>
      </c>
      <c r="F9" s="7" t="s">
        <v>150</v>
      </c>
      <c r="G9" s="8" t="s">
        <v>15</v>
      </c>
      <c r="H9" s="7" t="s">
        <v>133</v>
      </c>
      <c r="I9" s="7" t="s">
        <v>23</v>
      </c>
      <c r="J9" s="51" t="s">
        <v>17</v>
      </c>
      <c r="K9" s="11">
        <v>89.9</v>
      </c>
      <c r="L9" s="11">
        <v>19.899999999999999</v>
      </c>
      <c r="M9" s="40">
        <f>K9-L9</f>
        <v>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 x14ac:dyDescent="0.15">
      <c r="A10" s="1"/>
      <c r="B10" s="1">
        <v>7</v>
      </c>
      <c r="C10" s="39" t="s">
        <v>151</v>
      </c>
      <c r="D10" s="14"/>
      <c r="E10" s="14" t="s">
        <v>131</v>
      </c>
      <c r="F10" s="7" t="s">
        <v>152</v>
      </c>
      <c r="G10" s="8" t="s">
        <v>15</v>
      </c>
      <c r="H10" s="7" t="s">
        <v>133</v>
      </c>
      <c r="I10" s="7" t="s">
        <v>23</v>
      </c>
      <c r="J10" s="51" t="s">
        <v>17</v>
      </c>
      <c r="K10" s="11">
        <v>89.9</v>
      </c>
      <c r="L10" s="11">
        <v>19.899999999999999</v>
      </c>
      <c r="M10" s="40">
        <f>K10-L10</f>
        <v>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 x14ac:dyDescent="0.15">
      <c r="A11" s="1"/>
      <c r="B11" s="1">
        <v>8</v>
      </c>
      <c r="C11" s="48" t="s">
        <v>18</v>
      </c>
      <c r="D11" s="7" t="s">
        <v>19</v>
      </c>
      <c r="E11" s="7" t="s">
        <v>20</v>
      </c>
      <c r="F11" s="8" t="s">
        <v>21</v>
      </c>
      <c r="G11" s="8" t="s">
        <v>15</v>
      </c>
      <c r="H11" s="8" t="s">
        <v>22</v>
      </c>
      <c r="I11" s="8" t="s">
        <v>23</v>
      </c>
      <c r="J11" s="51" t="s">
        <v>17</v>
      </c>
      <c r="K11" s="11">
        <v>59.9</v>
      </c>
      <c r="L11" s="11">
        <v>19.899999999999999</v>
      </c>
      <c r="M11" s="40">
        <f t="shared" ref="M11:M24" si="1">K11-L11</f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" x14ac:dyDescent="0.15">
      <c r="A12" s="1"/>
      <c r="B12" s="1">
        <v>9</v>
      </c>
      <c r="C12" s="48" t="s">
        <v>24</v>
      </c>
      <c r="D12" s="7" t="s">
        <v>25</v>
      </c>
      <c r="E12" s="7" t="s">
        <v>20</v>
      </c>
      <c r="F12" s="8" t="s">
        <v>26</v>
      </c>
      <c r="G12" s="8" t="s">
        <v>15</v>
      </c>
      <c r="H12" s="8" t="s">
        <v>22</v>
      </c>
      <c r="I12" s="8" t="s">
        <v>23</v>
      </c>
      <c r="J12" s="51" t="s">
        <v>17</v>
      </c>
      <c r="K12" s="11">
        <v>59.9</v>
      </c>
      <c r="L12" s="11">
        <v>19.899999999999999</v>
      </c>
      <c r="M12" s="40">
        <f t="shared" si="1"/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 x14ac:dyDescent="0.15">
      <c r="A13" s="1"/>
      <c r="B13" s="1">
        <v>10</v>
      </c>
      <c r="C13" s="39" t="s">
        <v>45</v>
      </c>
      <c r="D13" s="14" t="s">
        <v>46</v>
      </c>
      <c r="E13" s="14" t="s">
        <v>47</v>
      </c>
      <c r="F13" s="7" t="s">
        <v>48</v>
      </c>
      <c r="G13" s="8" t="s">
        <v>15</v>
      </c>
      <c r="H13" s="7" t="s">
        <v>49</v>
      </c>
      <c r="I13" s="7" t="s">
        <v>23</v>
      </c>
      <c r="J13" s="51" t="s">
        <v>17</v>
      </c>
      <c r="K13" s="11">
        <v>79.900000000000006</v>
      </c>
      <c r="L13" s="11">
        <v>19.899999999999999</v>
      </c>
      <c r="M13" s="40">
        <f t="shared" si="1"/>
        <v>60.000000000000007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 x14ac:dyDescent="0.15">
      <c r="A14" s="1"/>
      <c r="B14" s="1">
        <v>11</v>
      </c>
      <c r="C14" s="39" t="s">
        <v>153</v>
      </c>
      <c r="D14" s="14"/>
      <c r="E14" s="14"/>
      <c r="F14" s="7" t="s">
        <v>155</v>
      </c>
      <c r="G14" s="8" t="s">
        <v>15</v>
      </c>
      <c r="H14" s="7"/>
      <c r="I14" s="7" t="s">
        <v>23</v>
      </c>
      <c r="J14" s="51" t="s">
        <v>17</v>
      </c>
      <c r="K14" s="11">
        <v>59.9</v>
      </c>
      <c r="L14" s="11">
        <v>19.899999999999999</v>
      </c>
      <c r="M14" s="40">
        <f t="shared" si="1"/>
        <v>40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 x14ac:dyDescent="0.15">
      <c r="A15" s="1"/>
      <c r="B15" s="1">
        <v>12</v>
      </c>
      <c r="C15" s="39" t="s">
        <v>154</v>
      </c>
      <c r="D15" s="14"/>
      <c r="E15" s="14"/>
      <c r="F15" s="7" t="s">
        <v>156</v>
      </c>
      <c r="G15" s="8" t="s">
        <v>15</v>
      </c>
      <c r="H15" s="7"/>
      <c r="I15" s="7" t="s">
        <v>23</v>
      </c>
      <c r="J15" s="51" t="s">
        <v>17</v>
      </c>
      <c r="K15" s="11">
        <v>59.9</v>
      </c>
      <c r="L15" s="11">
        <v>19.899999999999999</v>
      </c>
      <c r="M15" s="40">
        <f t="shared" si="1"/>
        <v>40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 x14ac:dyDescent="0.15">
      <c r="A16" s="1"/>
      <c r="B16" s="1">
        <v>13</v>
      </c>
      <c r="C16" s="39" t="s">
        <v>157</v>
      </c>
      <c r="D16" s="14"/>
      <c r="E16" s="14"/>
      <c r="F16" s="7" t="s">
        <v>158</v>
      </c>
      <c r="G16" s="8" t="s">
        <v>64</v>
      </c>
      <c r="H16" s="7" t="s">
        <v>159</v>
      </c>
      <c r="I16" s="7" t="s">
        <v>23</v>
      </c>
      <c r="J16" s="51" t="s">
        <v>17</v>
      </c>
      <c r="K16" s="11">
        <v>59.9</v>
      </c>
      <c r="L16" s="11">
        <v>19.899999999999999</v>
      </c>
      <c r="M16" s="40">
        <f t="shared" si="1"/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 x14ac:dyDescent="0.15">
      <c r="A17" s="1"/>
      <c r="B17" s="1">
        <v>15</v>
      </c>
      <c r="C17" s="49" t="s">
        <v>55</v>
      </c>
      <c r="D17" s="43" t="s">
        <v>56</v>
      </c>
      <c r="E17" s="43" t="s">
        <v>57</v>
      </c>
      <c r="F17" s="45" t="s">
        <v>58</v>
      </c>
      <c r="G17" s="44" t="s">
        <v>15</v>
      </c>
      <c r="H17" s="45" t="s">
        <v>59</v>
      </c>
      <c r="I17" s="45" t="s">
        <v>23</v>
      </c>
      <c r="J17" s="51" t="s">
        <v>17</v>
      </c>
      <c r="K17" s="46">
        <v>59.9</v>
      </c>
      <c r="L17" s="46">
        <v>19.899999999999999</v>
      </c>
      <c r="M17" s="47">
        <f t="shared" si="1"/>
        <v>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 x14ac:dyDescent="0.15">
      <c r="A18" s="1"/>
      <c r="B18" s="1">
        <v>16</v>
      </c>
      <c r="C18" s="39"/>
      <c r="D18" s="14" t="s">
        <v>61</v>
      </c>
      <c r="E18" s="14" t="s">
        <v>62</v>
      </c>
      <c r="F18" s="7" t="s">
        <v>145</v>
      </c>
      <c r="G18" s="8" t="s">
        <v>64</v>
      </c>
      <c r="H18" s="7" t="s">
        <v>65</v>
      </c>
      <c r="I18" s="7" t="s">
        <v>66</v>
      </c>
      <c r="J18" s="51" t="s">
        <v>17</v>
      </c>
      <c r="K18" s="11">
        <v>89.9</v>
      </c>
      <c r="L18" s="11">
        <v>19.899999999999999</v>
      </c>
      <c r="M18" s="40">
        <f>K18-L18</f>
        <v>70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 x14ac:dyDescent="0.15">
      <c r="A19" s="1"/>
      <c r="B19" s="1">
        <v>17</v>
      </c>
      <c r="C19" s="33" t="s">
        <v>60</v>
      </c>
      <c r="D19" s="34" t="s">
        <v>61</v>
      </c>
      <c r="E19" s="34" t="s">
        <v>62</v>
      </c>
      <c r="F19" s="35" t="s">
        <v>63</v>
      </c>
      <c r="G19" s="36" t="s">
        <v>64</v>
      </c>
      <c r="H19" s="35" t="s">
        <v>65</v>
      </c>
      <c r="I19" s="35" t="s">
        <v>66</v>
      </c>
      <c r="J19" s="51" t="s">
        <v>17</v>
      </c>
      <c r="K19" s="37">
        <v>89.9</v>
      </c>
      <c r="L19" s="37">
        <v>19.899999999999999</v>
      </c>
      <c r="M19" s="38">
        <f t="shared" si="1"/>
        <v>70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 x14ac:dyDescent="0.15">
      <c r="A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 x14ac:dyDescent="0.15">
      <c r="A21" s="1"/>
      <c r="B21" s="1">
        <v>18</v>
      </c>
      <c r="C21" s="39" t="s">
        <v>73</v>
      </c>
      <c r="D21" s="14" t="s">
        <v>74</v>
      </c>
      <c r="E21" s="14" t="s">
        <v>75</v>
      </c>
      <c r="F21" s="7" t="s">
        <v>76</v>
      </c>
      <c r="G21" s="8" t="s">
        <v>77</v>
      </c>
      <c r="H21" s="7" t="s">
        <v>78</v>
      </c>
      <c r="I21" s="7" t="s">
        <v>66</v>
      </c>
      <c r="J21" s="51" t="s">
        <v>17</v>
      </c>
      <c r="K21" s="11">
        <v>59.9</v>
      </c>
      <c r="L21" s="11">
        <v>19.899999999999999</v>
      </c>
      <c r="M21" s="40">
        <f t="shared" si="1"/>
        <v>40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 x14ac:dyDescent="0.15">
      <c r="A22" s="1"/>
      <c r="B22" s="1">
        <v>19</v>
      </c>
      <c r="C22" s="39" t="s">
        <v>89</v>
      </c>
      <c r="D22" s="14" t="s">
        <v>90</v>
      </c>
      <c r="E22" s="14" t="s">
        <v>91</v>
      </c>
      <c r="F22" s="7" t="s">
        <v>92</v>
      </c>
      <c r="G22" s="8" t="s">
        <v>15</v>
      </c>
      <c r="H22" s="7" t="s">
        <v>93</v>
      </c>
      <c r="I22" s="7" t="s">
        <v>66</v>
      </c>
      <c r="J22" s="51" t="s">
        <v>17</v>
      </c>
      <c r="K22" s="11">
        <v>59.9</v>
      </c>
      <c r="L22" s="11">
        <v>19.899999999999999</v>
      </c>
      <c r="M22" s="40">
        <f t="shared" si="1"/>
        <v>40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 x14ac:dyDescent="0.2">
      <c r="A23" s="1"/>
      <c r="B23" s="1">
        <v>20</v>
      </c>
      <c r="C23" s="41" t="s">
        <v>101</v>
      </c>
      <c r="D23" s="14" t="s">
        <v>102</v>
      </c>
      <c r="E23" s="14" t="s">
        <v>103</v>
      </c>
      <c r="F23" s="30" t="s">
        <v>104</v>
      </c>
      <c r="G23" s="8" t="s">
        <v>15</v>
      </c>
      <c r="H23" s="7" t="s">
        <v>105</v>
      </c>
      <c r="I23" s="7" t="s">
        <v>66</v>
      </c>
      <c r="J23" s="51" t="s">
        <v>17</v>
      </c>
      <c r="K23" s="11">
        <v>39.9</v>
      </c>
      <c r="L23" s="11">
        <v>19.899999999999999</v>
      </c>
      <c r="M23" s="40">
        <f t="shared" si="1"/>
        <v>20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 x14ac:dyDescent="0.2">
      <c r="A24" s="1"/>
      <c r="B24" s="1">
        <v>21</v>
      </c>
      <c r="C24" s="41" t="s">
        <v>106</v>
      </c>
      <c r="D24" s="14" t="s">
        <v>102</v>
      </c>
      <c r="E24" s="14" t="s">
        <v>103</v>
      </c>
      <c r="F24" s="30" t="s">
        <v>107</v>
      </c>
      <c r="G24" s="8" t="s">
        <v>15</v>
      </c>
      <c r="H24" s="7" t="s">
        <v>105</v>
      </c>
      <c r="I24" s="7" t="s">
        <v>66</v>
      </c>
      <c r="J24" s="51" t="s">
        <v>17</v>
      </c>
      <c r="K24" s="11">
        <v>39.9</v>
      </c>
      <c r="L24" s="11">
        <v>19.899999999999999</v>
      </c>
      <c r="M24" s="40">
        <f t="shared" si="1"/>
        <v>20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 x14ac:dyDescent="0.15">
      <c r="A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 x14ac:dyDescent="0.15">
      <c r="A26" s="1"/>
      <c r="B26" s="1"/>
      <c r="C26" s="33"/>
      <c r="D26" s="34"/>
      <c r="E26" s="34"/>
      <c r="F26" s="35" t="s">
        <v>160</v>
      </c>
      <c r="G26" s="36"/>
      <c r="H26" s="35"/>
      <c r="I26" s="35"/>
      <c r="J26" s="51" t="s">
        <v>17</v>
      </c>
      <c r="K26" s="37">
        <v>89.9</v>
      </c>
      <c r="L26" s="37">
        <v>19.899999999999999</v>
      </c>
      <c r="M26" s="38">
        <f t="shared" ref="M26" si="2">K26-L26</f>
        <v>70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 x14ac:dyDescent="0.15">
      <c r="A27" s="1"/>
      <c r="B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 x14ac:dyDescent="0.15">
      <c r="A28" s="1"/>
      <c r="B28" s="1"/>
      <c r="C28" s="52" t="s">
        <v>192</v>
      </c>
      <c r="D28" s="53" t="s">
        <v>193</v>
      </c>
      <c r="E28" s="53" t="s">
        <v>194</v>
      </c>
      <c r="F28" s="54" t="s">
        <v>195</v>
      </c>
      <c r="G28" s="58" t="s">
        <v>203</v>
      </c>
      <c r="H28" s="59" t="s">
        <v>197</v>
      </c>
      <c r="I28" s="54" t="s">
        <v>168</v>
      </c>
      <c r="J28" s="55">
        <v>46522</v>
      </c>
      <c r="K28" s="54" t="s">
        <v>198</v>
      </c>
      <c r="L28" s="60" t="s">
        <v>227</v>
      </c>
      <c r="M28" s="56">
        <v>59.9</v>
      </c>
      <c r="N28" s="56"/>
      <c r="O28" s="57">
        <f>M28-N28</f>
        <v>59.9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 x14ac:dyDescent="0.15">
      <c r="A29" s="1"/>
      <c r="B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 x14ac:dyDescent="0.15">
      <c r="A30" s="1"/>
      <c r="B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 x14ac:dyDescent="0.15">
      <c r="A31" s="1"/>
      <c r="B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 x14ac:dyDescent="0.15">
      <c r="A32" s="1"/>
      <c r="B32" s="1"/>
      <c r="K32" s="19">
        <f>SUM(K3:K31)</f>
        <v>1148.3</v>
      </c>
      <c r="L32" s="19">
        <f>SUM(L3:L31)</f>
        <v>417.89999999999986</v>
      </c>
      <c r="M32" s="19">
        <f>SUM(M3:M31)</f>
        <v>790.3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86CB-10F3-3F40-BADD-2392C0E55AE5}">
  <dimension ref="B2:P51"/>
  <sheetViews>
    <sheetView topLeftCell="B1" zoomScale="159" zoomScaleNormal="120" workbookViewId="0">
      <selection activeCell="L28" sqref="B2:P29"/>
    </sheetView>
  </sheetViews>
  <sheetFormatPr baseColWidth="10" defaultRowHeight="13" x14ac:dyDescent="0.15"/>
  <cols>
    <col min="1" max="1" width="1.33203125" style="61" customWidth="1"/>
    <col min="2" max="2" width="2.83203125" style="61" bestFit="1" customWidth="1"/>
    <col min="3" max="3" width="15.5" style="61" bestFit="1" customWidth="1"/>
    <col min="4" max="4" width="30" style="61" bestFit="1" customWidth="1"/>
    <col min="5" max="5" width="12.6640625" style="61" bestFit="1" customWidth="1"/>
    <col min="6" max="6" width="43" style="61" bestFit="1" customWidth="1"/>
    <col min="7" max="7" width="12.6640625" style="61" bestFit="1" customWidth="1"/>
    <col min="8" max="8" width="9.5" style="61" bestFit="1" customWidth="1"/>
    <col min="9" max="9" width="12" style="61" bestFit="1" customWidth="1"/>
    <col min="10" max="10" width="10.5" style="61" bestFit="1" customWidth="1"/>
    <col min="11" max="12" width="11" style="61" bestFit="1" customWidth="1"/>
    <col min="13" max="13" width="9" style="61" bestFit="1" customWidth="1"/>
    <col min="14" max="14" width="9.5" style="61" bestFit="1" customWidth="1"/>
    <col min="15" max="15" width="9" style="61" bestFit="1" customWidth="1"/>
    <col min="16" max="16" width="18.6640625" style="113" bestFit="1" customWidth="1"/>
    <col min="17" max="16384" width="10.83203125" style="61"/>
  </cols>
  <sheetData>
    <row r="2" spans="2:16" ht="14" x14ac:dyDescent="0.15">
      <c r="B2" s="62"/>
      <c r="C2" s="63" t="s">
        <v>0</v>
      </c>
      <c r="D2" s="63" t="s">
        <v>1</v>
      </c>
      <c r="E2" s="63" t="s">
        <v>2</v>
      </c>
      <c r="F2" s="63" t="s">
        <v>3</v>
      </c>
      <c r="G2" s="63" t="s">
        <v>202</v>
      </c>
      <c r="H2" s="63" t="s">
        <v>4</v>
      </c>
      <c r="I2" s="63" t="s">
        <v>5</v>
      </c>
      <c r="J2" s="63" t="s">
        <v>166</v>
      </c>
      <c r="K2" s="63" t="s">
        <v>6</v>
      </c>
      <c r="L2" s="63" t="s">
        <v>7</v>
      </c>
      <c r="M2" s="63" t="s">
        <v>8</v>
      </c>
      <c r="N2" s="63" t="s">
        <v>9</v>
      </c>
      <c r="O2" s="64" t="s">
        <v>10</v>
      </c>
    </row>
    <row r="3" spans="2:16" ht="14" x14ac:dyDescent="0.15">
      <c r="B3" s="65">
        <v>1</v>
      </c>
      <c r="C3" s="66" t="s">
        <v>11</v>
      </c>
      <c r="D3" s="67" t="s">
        <v>12</v>
      </c>
      <c r="E3" s="67" t="s">
        <v>13</v>
      </c>
      <c r="F3" s="66" t="s">
        <v>14</v>
      </c>
      <c r="G3" s="66" t="s">
        <v>203</v>
      </c>
      <c r="H3" s="66" t="s">
        <v>167</v>
      </c>
      <c r="I3" s="66" t="s">
        <v>16</v>
      </c>
      <c r="J3" s="68">
        <v>46680</v>
      </c>
      <c r="K3" s="68">
        <v>46315</v>
      </c>
      <c r="L3" s="51" t="s">
        <v>17</v>
      </c>
      <c r="M3" s="72">
        <v>0</v>
      </c>
      <c r="N3" s="72">
        <v>0</v>
      </c>
      <c r="O3" s="72">
        <f t="shared" ref="O3:O28" si="0">M3-N3</f>
        <v>0</v>
      </c>
      <c r="P3" s="114" t="s">
        <v>217</v>
      </c>
    </row>
    <row r="4" spans="2:16" ht="14" x14ac:dyDescent="0.2">
      <c r="B4" s="65">
        <v>2</v>
      </c>
      <c r="C4" s="89" t="s">
        <v>94</v>
      </c>
      <c r="D4" s="88" t="s">
        <v>95</v>
      </c>
      <c r="E4" s="88" t="s">
        <v>96</v>
      </c>
      <c r="F4" s="87" t="s">
        <v>97</v>
      </c>
      <c r="G4" s="87" t="s">
        <v>203</v>
      </c>
      <c r="H4" s="87" t="s">
        <v>167</v>
      </c>
      <c r="I4" s="88" t="s">
        <v>98</v>
      </c>
      <c r="J4" s="98">
        <v>46323</v>
      </c>
      <c r="K4" s="98">
        <v>46323</v>
      </c>
      <c r="L4" s="51" t="s">
        <v>17</v>
      </c>
      <c r="M4" s="107">
        <v>0</v>
      </c>
      <c r="N4" s="107">
        <v>0</v>
      </c>
      <c r="O4" s="107">
        <f t="shared" si="0"/>
        <v>0</v>
      </c>
      <c r="P4" s="114" t="s">
        <v>217</v>
      </c>
    </row>
    <row r="5" spans="2:16" ht="14" x14ac:dyDescent="0.2">
      <c r="B5" s="65">
        <v>3</v>
      </c>
      <c r="C5" s="69" t="s">
        <v>99</v>
      </c>
      <c r="D5" s="67" t="s">
        <v>95</v>
      </c>
      <c r="E5" s="67" t="s">
        <v>96</v>
      </c>
      <c r="F5" s="66" t="s">
        <v>100</v>
      </c>
      <c r="G5" s="66" t="s">
        <v>203</v>
      </c>
      <c r="H5" s="66" t="s">
        <v>167</v>
      </c>
      <c r="I5" s="67" t="s">
        <v>98</v>
      </c>
      <c r="J5" s="70">
        <v>46323</v>
      </c>
      <c r="K5" s="70">
        <v>46323</v>
      </c>
      <c r="L5" s="51" t="s">
        <v>17</v>
      </c>
      <c r="M5" s="72">
        <v>0</v>
      </c>
      <c r="N5" s="72">
        <v>0</v>
      </c>
      <c r="O5" s="72">
        <f t="shared" si="0"/>
        <v>0</v>
      </c>
      <c r="P5" s="114" t="s">
        <v>217</v>
      </c>
    </row>
    <row r="6" spans="2:16" ht="14" x14ac:dyDescent="0.15">
      <c r="B6" s="65">
        <v>4</v>
      </c>
      <c r="C6" s="88" t="s">
        <v>84</v>
      </c>
      <c r="D6" s="88" t="s">
        <v>85</v>
      </c>
      <c r="E6" s="88" t="s">
        <v>86</v>
      </c>
      <c r="F6" s="88" t="s">
        <v>87</v>
      </c>
      <c r="G6" s="88" t="s">
        <v>203</v>
      </c>
      <c r="H6" s="87" t="s">
        <v>167</v>
      </c>
      <c r="I6" s="88" t="s">
        <v>88</v>
      </c>
      <c r="J6" s="98">
        <v>46305</v>
      </c>
      <c r="K6" s="98">
        <v>46346</v>
      </c>
      <c r="L6" s="51" t="s">
        <v>17</v>
      </c>
      <c r="M6" s="107">
        <v>0</v>
      </c>
      <c r="N6" s="107">
        <v>0</v>
      </c>
      <c r="O6" s="107">
        <f t="shared" si="0"/>
        <v>0</v>
      </c>
      <c r="P6" s="114" t="s">
        <v>217</v>
      </c>
    </row>
    <row r="7" spans="2:16" ht="14" x14ac:dyDescent="0.15">
      <c r="B7" s="65">
        <v>5</v>
      </c>
      <c r="C7" s="67" t="s">
        <v>204</v>
      </c>
      <c r="D7" s="67" t="s">
        <v>205</v>
      </c>
      <c r="E7" s="67" t="s">
        <v>206</v>
      </c>
      <c r="F7" s="67" t="s">
        <v>207</v>
      </c>
      <c r="G7" s="67" t="s">
        <v>201</v>
      </c>
      <c r="H7" s="66" t="s">
        <v>208</v>
      </c>
      <c r="I7" s="67" t="s">
        <v>209</v>
      </c>
      <c r="J7" s="71">
        <v>46469</v>
      </c>
      <c r="K7" s="71">
        <v>46397</v>
      </c>
      <c r="L7" s="51" t="s">
        <v>17</v>
      </c>
      <c r="M7" s="72">
        <v>0</v>
      </c>
      <c r="N7" s="72">
        <v>0</v>
      </c>
      <c r="O7" s="72">
        <f t="shared" si="0"/>
        <v>0</v>
      </c>
      <c r="P7" s="114" t="s">
        <v>218</v>
      </c>
    </row>
    <row r="8" spans="2:16" ht="14" x14ac:dyDescent="0.15">
      <c r="B8" s="65">
        <v>6</v>
      </c>
      <c r="C8" s="88" t="s">
        <v>210</v>
      </c>
      <c r="D8" s="88" t="s">
        <v>211</v>
      </c>
      <c r="E8" s="88" t="s">
        <v>214</v>
      </c>
      <c r="F8" s="88" t="s">
        <v>212</v>
      </c>
      <c r="G8" s="88" t="s">
        <v>201</v>
      </c>
      <c r="H8" s="87" t="s">
        <v>208</v>
      </c>
      <c r="I8" s="88" t="s">
        <v>213</v>
      </c>
      <c r="J8" s="100">
        <v>46212</v>
      </c>
      <c r="K8" s="99">
        <v>46397</v>
      </c>
      <c r="L8" s="51" t="s">
        <v>17</v>
      </c>
      <c r="M8" s="107">
        <v>0</v>
      </c>
      <c r="N8" s="107">
        <v>0</v>
      </c>
      <c r="O8" s="107">
        <f t="shared" si="0"/>
        <v>0</v>
      </c>
      <c r="P8" s="114" t="s">
        <v>218</v>
      </c>
    </row>
    <row r="9" spans="2:16" ht="14" x14ac:dyDescent="0.15">
      <c r="B9" s="65">
        <v>7</v>
      </c>
      <c r="C9" s="67" t="s">
        <v>190</v>
      </c>
      <c r="D9" s="67" t="s">
        <v>189</v>
      </c>
      <c r="E9" s="67" t="s">
        <v>188</v>
      </c>
      <c r="F9" s="67" t="s">
        <v>191</v>
      </c>
      <c r="G9" s="67" t="s">
        <v>203</v>
      </c>
      <c r="H9" s="66" t="s">
        <v>167</v>
      </c>
      <c r="I9" s="67" t="s">
        <v>187</v>
      </c>
      <c r="J9" s="71">
        <v>46481</v>
      </c>
      <c r="K9" s="71">
        <v>46479</v>
      </c>
      <c r="L9" s="51" t="s">
        <v>17</v>
      </c>
      <c r="M9" s="72">
        <v>0</v>
      </c>
      <c r="N9" s="72">
        <v>0</v>
      </c>
      <c r="O9" s="72">
        <f t="shared" si="0"/>
        <v>0</v>
      </c>
      <c r="P9" s="114" t="s">
        <v>219</v>
      </c>
    </row>
    <row r="10" spans="2:16" ht="14" x14ac:dyDescent="0.15">
      <c r="B10" s="65">
        <v>8</v>
      </c>
      <c r="C10" s="90" t="s">
        <v>175</v>
      </c>
      <c r="D10" s="91" t="s">
        <v>176</v>
      </c>
      <c r="E10" s="91" t="s">
        <v>177</v>
      </c>
      <c r="F10" s="91" t="s">
        <v>174</v>
      </c>
      <c r="G10" s="88" t="s">
        <v>203</v>
      </c>
      <c r="H10" s="101" t="s">
        <v>178</v>
      </c>
      <c r="I10" s="91" t="s">
        <v>179</v>
      </c>
      <c r="J10" s="102">
        <v>46583</v>
      </c>
      <c r="K10" s="91" t="s">
        <v>23</v>
      </c>
      <c r="L10" s="51" t="s">
        <v>17</v>
      </c>
      <c r="M10" s="108">
        <v>89.9</v>
      </c>
      <c r="N10" s="108">
        <v>0</v>
      </c>
      <c r="O10" s="109">
        <f t="shared" si="0"/>
        <v>89.9</v>
      </c>
    </row>
    <row r="11" spans="2:16" ht="14" x14ac:dyDescent="0.15">
      <c r="B11" s="65">
        <v>9</v>
      </c>
      <c r="C11" s="74" t="s">
        <v>129</v>
      </c>
      <c r="D11" s="75" t="s">
        <v>130</v>
      </c>
      <c r="E11" s="75" t="s">
        <v>169</v>
      </c>
      <c r="F11" s="75" t="s">
        <v>132</v>
      </c>
      <c r="G11" s="67" t="s">
        <v>203</v>
      </c>
      <c r="H11" s="78" t="s">
        <v>167</v>
      </c>
      <c r="I11" s="75" t="s">
        <v>168</v>
      </c>
      <c r="J11" s="77">
        <v>46333</v>
      </c>
      <c r="K11" s="75" t="s">
        <v>23</v>
      </c>
      <c r="L11" s="51" t="s">
        <v>17</v>
      </c>
      <c r="M11" s="81">
        <v>59.9</v>
      </c>
      <c r="N11" s="81">
        <v>0</v>
      </c>
      <c r="O11" s="82">
        <f t="shared" si="0"/>
        <v>59.9</v>
      </c>
    </row>
    <row r="12" spans="2:16" ht="14" x14ac:dyDescent="0.15">
      <c r="B12" s="65">
        <v>10</v>
      </c>
      <c r="C12" s="92" t="s">
        <v>149</v>
      </c>
      <c r="D12" s="88" t="s">
        <v>172</v>
      </c>
      <c r="E12" s="88" t="s">
        <v>171</v>
      </c>
      <c r="F12" s="88" t="s">
        <v>150</v>
      </c>
      <c r="G12" s="88" t="s">
        <v>203</v>
      </c>
      <c r="H12" s="101" t="s">
        <v>178</v>
      </c>
      <c r="I12" s="88" t="s">
        <v>170</v>
      </c>
      <c r="J12" s="99">
        <v>46337</v>
      </c>
      <c r="K12" s="88" t="s">
        <v>23</v>
      </c>
      <c r="L12" s="51" t="s">
        <v>17</v>
      </c>
      <c r="M12" s="107">
        <v>89.9</v>
      </c>
      <c r="N12" s="107">
        <v>0</v>
      </c>
      <c r="O12" s="110">
        <f t="shared" si="0"/>
        <v>89.9</v>
      </c>
    </row>
    <row r="13" spans="2:16" ht="14" x14ac:dyDescent="0.15">
      <c r="B13" s="65">
        <v>11</v>
      </c>
      <c r="C13" s="79" t="s">
        <v>151</v>
      </c>
      <c r="D13" s="67" t="s">
        <v>173</v>
      </c>
      <c r="E13" s="67" t="s">
        <v>131</v>
      </c>
      <c r="F13" s="67" t="s">
        <v>152</v>
      </c>
      <c r="G13" s="67" t="s">
        <v>203</v>
      </c>
      <c r="H13" s="76" t="s">
        <v>178</v>
      </c>
      <c r="I13" s="67" t="s">
        <v>133</v>
      </c>
      <c r="J13" s="71">
        <v>46344</v>
      </c>
      <c r="K13" s="67" t="s">
        <v>23</v>
      </c>
      <c r="L13" s="51" t="s">
        <v>17</v>
      </c>
      <c r="M13" s="72">
        <v>89.9</v>
      </c>
      <c r="N13" s="72">
        <v>0</v>
      </c>
      <c r="O13" s="83">
        <f t="shared" si="0"/>
        <v>89.9</v>
      </c>
    </row>
    <row r="14" spans="2:16" ht="14" x14ac:dyDescent="0.15">
      <c r="B14" s="65">
        <v>12</v>
      </c>
      <c r="C14" s="93" t="s">
        <v>18</v>
      </c>
      <c r="D14" s="88" t="s">
        <v>19</v>
      </c>
      <c r="E14" s="88" t="s">
        <v>20</v>
      </c>
      <c r="F14" s="87" t="s">
        <v>165</v>
      </c>
      <c r="G14" s="88" t="s">
        <v>203</v>
      </c>
      <c r="H14" s="87" t="s">
        <v>167</v>
      </c>
      <c r="I14" s="87" t="s">
        <v>22</v>
      </c>
      <c r="J14" s="100">
        <v>46205</v>
      </c>
      <c r="K14" s="87" t="s">
        <v>23</v>
      </c>
      <c r="L14" s="51" t="s">
        <v>17</v>
      </c>
      <c r="M14" s="107">
        <v>59.9</v>
      </c>
      <c r="N14" s="107">
        <v>0</v>
      </c>
      <c r="O14" s="110">
        <f t="shared" si="0"/>
        <v>59.9</v>
      </c>
    </row>
    <row r="15" spans="2:16" ht="14" x14ac:dyDescent="0.15">
      <c r="B15" s="65">
        <v>13</v>
      </c>
      <c r="C15" s="80" t="s">
        <v>24</v>
      </c>
      <c r="D15" s="67" t="s">
        <v>25</v>
      </c>
      <c r="E15" s="67" t="s">
        <v>20</v>
      </c>
      <c r="F15" s="66" t="s">
        <v>26</v>
      </c>
      <c r="G15" s="67" t="s">
        <v>203</v>
      </c>
      <c r="H15" s="66" t="s">
        <v>167</v>
      </c>
      <c r="I15" s="66" t="s">
        <v>22</v>
      </c>
      <c r="J15" s="73">
        <v>46205</v>
      </c>
      <c r="K15" s="66" t="s">
        <v>23</v>
      </c>
      <c r="L15" s="51" t="s">
        <v>17</v>
      </c>
      <c r="M15" s="72">
        <v>59.9</v>
      </c>
      <c r="N15" s="72">
        <v>0</v>
      </c>
      <c r="O15" s="83">
        <f t="shared" si="0"/>
        <v>59.9</v>
      </c>
    </row>
    <row r="16" spans="2:16" ht="14" x14ac:dyDescent="0.15">
      <c r="B16" s="65">
        <v>14</v>
      </c>
      <c r="C16" s="92" t="s">
        <v>45</v>
      </c>
      <c r="D16" s="88" t="s">
        <v>46</v>
      </c>
      <c r="E16" s="88" t="s">
        <v>47</v>
      </c>
      <c r="F16" s="88" t="s">
        <v>48</v>
      </c>
      <c r="G16" s="88" t="s">
        <v>203</v>
      </c>
      <c r="H16" s="87" t="s">
        <v>164</v>
      </c>
      <c r="I16" s="88" t="s">
        <v>49</v>
      </c>
      <c r="J16" s="99">
        <v>46319</v>
      </c>
      <c r="K16" s="88" t="s">
        <v>23</v>
      </c>
      <c r="L16" s="51" t="s">
        <v>17</v>
      </c>
      <c r="M16" s="107">
        <v>79.900000000000006</v>
      </c>
      <c r="N16" s="107">
        <v>0</v>
      </c>
      <c r="O16" s="110">
        <f t="shared" si="0"/>
        <v>79.900000000000006</v>
      </c>
    </row>
    <row r="17" spans="2:16" ht="14" x14ac:dyDescent="0.15">
      <c r="B17" s="65">
        <v>15</v>
      </c>
      <c r="C17" s="79" t="s">
        <v>153</v>
      </c>
      <c r="D17" s="67" t="s">
        <v>183</v>
      </c>
      <c r="E17" s="67" t="s">
        <v>185</v>
      </c>
      <c r="F17" s="67" t="s">
        <v>155</v>
      </c>
      <c r="G17" s="67" t="s">
        <v>203</v>
      </c>
      <c r="H17" s="76" t="s">
        <v>167</v>
      </c>
      <c r="I17" s="67" t="s">
        <v>186</v>
      </c>
      <c r="J17" s="71">
        <v>46504</v>
      </c>
      <c r="K17" s="67" t="s">
        <v>23</v>
      </c>
      <c r="L17" s="51" t="s">
        <v>17</v>
      </c>
      <c r="M17" s="72">
        <v>59.9</v>
      </c>
      <c r="N17" s="72">
        <v>0</v>
      </c>
      <c r="O17" s="83">
        <f t="shared" si="0"/>
        <v>59.9</v>
      </c>
    </row>
    <row r="18" spans="2:16" ht="14" x14ac:dyDescent="0.15">
      <c r="B18" s="65">
        <v>16</v>
      </c>
      <c r="C18" s="92" t="s">
        <v>154</v>
      </c>
      <c r="D18" s="88" t="s">
        <v>184</v>
      </c>
      <c r="E18" s="88" t="s">
        <v>185</v>
      </c>
      <c r="F18" s="88" t="s">
        <v>156</v>
      </c>
      <c r="G18" s="88" t="s">
        <v>203</v>
      </c>
      <c r="H18" s="101" t="s">
        <v>167</v>
      </c>
      <c r="I18" s="88" t="s">
        <v>186</v>
      </c>
      <c r="J18" s="99">
        <v>46504</v>
      </c>
      <c r="K18" s="88" t="s">
        <v>23</v>
      </c>
      <c r="L18" s="51" t="s">
        <v>17</v>
      </c>
      <c r="M18" s="107">
        <v>59.9</v>
      </c>
      <c r="N18" s="107">
        <v>0</v>
      </c>
      <c r="O18" s="110">
        <f t="shared" si="0"/>
        <v>59.9</v>
      </c>
    </row>
    <row r="19" spans="2:16" ht="14" x14ac:dyDescent="0.15">
      <c r="B19" s="65">
        <v>17</v>
      </c>
      <c r="C19" s="79" t="s">
        <v>157</v>
      </c>
      <c r="D19" s="67" t="s">
        <v>182</v>
      </c>
      <c r="E19" s="67" t="s">
        <v>41</v>
      </c>
      <c r="F19" s="67" t="s">
        <v>158</v>
      </c>
      <c r="G19" s="67" t="s">
        <v>203</v>
      </c>
      <c r="H19" s="76" t="s">
        <v>181</v>
      </c>
      <c r="I19" s="67" t="s">
        <v>159</v>
      </c>
      <c r="J19" s="71">
        <v>46395</v>
      </c>
      <c r="K19" s="67" t="s">
        <v>23</v>
      </c>
      <c r="L19" s="51" t="s">
        <v>17</v>
      </c>
      <c r="M19" s="72">
        <v>59.9</v>
      </c>
      <c r="N19" s="72">
        <v>0</v>
      </c>
      <c r="O19" s="83">
        <f t="shared" si="0"/>
        <v>59.9</v>
      </c>
    </row>
    <row r="20" spans="2:16" ht="14" x14ac:dyDescent="0.15">
      <c r="B20" s="65">
        <v>18</v>
      </c>
      <c r="C20" s="94" t="s">
        <v>55</v>
      </c>
      <c r="D20" s="95" t="s">
        <v>56</v>
      </c>
      <c r="E20" s="95" t="s">
        <v>57</v>
      </c>
      <c r="F20" s="95" t="s">
        <v>58</v>
      </c>
      <c r="G20" s="88" t="s">
        <v>203</v>
      </c>
      <c r="H20" s="101" t="s">
        <v>167</v>
      </c>
      <c r="I20" s="95" t="s">
        <v>59</v>
      </c>
      <c r="J20" s="105">
        <v>46325</v>
      </c>
      <c r="K20" s="95" t="s">
        <v>23</v>
      </c>
      <c r="L20" s="51" t="s">
        <v>17</v>
      </c>
      <c r="M20" s="111">
        <v>59.9</v>
      </c>
      <c r="N20" s="111">
        <v>0</v>
      </c>
      <c r="O20" s="112">
        <f t="shared" si="0"/>
        <v>59.9</v>
      </c>
    </row>
    <row r="21" spans="2:16" ht="14" x14ac:dyDescent="0.15">
      <c r="B21" s="65">
        <v>19</v>
      </c>
      <c r="C21" s="79" t="s">
        <v>180</v>
      </c>
      <c r="D21" s="67" t="s">
        <v>61</v>
      </c>
      <c r="E21" s="67" t="s">
        <v>62</v>
      </c>
      <c r="F21" s="67" t="s">
        <v>145</v>
      </c>
      <c r="G21" s="67" t="s">
        <v>203</v>
      </c>
      <c r="H21" s="78" t="s">
        <v>167</v>
      </c>
      <c r="I21" s="67" t="s">
        <v>65</v>
      </c>
      <c r="J21" s="71">
        <v>46353</v>
      </c>
      <c r="K21" s="67" t="s">
        <v>23</v>
      </c>
      <c r="L21" s="51" t="s">
        <v>17</v>
      </c>
      <c r="M21" s="81">
        <v>59.9</v>
      </c>
      <c r="N21" s="72">
        <v>0</v>
      </c>
      <c r="O21" s="83">
        <f t="shared" si="0"/>
        <v>59.9</v>
      </c>
    </row>
    <row r="22" spans="2:16" ht="14" x14ac:dyDescent="0.15">
      <c r="B22" s="65">
        <v>20</v>
      </c>
      <c r="C22" s="90" t="s">
        <v>60</v>
      </c>
      <c r="D22" s="91" t="s">
        <v>61</v>
      </c>
      <c r="E22" s="91" t="s">
        <v>62</v>
      </c>
      <c r="F22" s="91" t="s">
        <v>63</v>
      </c>
      <c r="G22" s="88" t="s">
        <v>203</v>
      </c>
      <c r="H22" s="103" t="s">
        <v>167</v>
      </c>
      <c r="I22" s="91" t="s">
        <v>65</v>
      </c>
      <c r="J22" s="104">
        <v>46247</v>
      </c>
      <c r="K22" s="91" t="s">
        <v>23</v>
      </c>
      <c r="L22" s="51" t="s">
        <v>17</v>
      </c>
      <c r="M22" s="108">
        <v>59.9</v>
      </c>
      <c r="N22" s="108">
        <v>0</v>
      </c>
      <c r="O22" s="109">
        <f t="shared" si="0"/>
        <v>59.9</v>
      </c>
    </row>
    <row r="23" spans="2:16" ht="14" x14ac:dyDescent="0.15">
      <c r="B23" s="65">
        <v>21</v>
      </c>
      <c r="C23" s="79" t="s">
        <v>228</v>
      </c>
      <c r="D23" s="85" t="s">
        <v>230</v>
      </c>
      <c r="E23" s="67" t="s">
        <v>232</v>
      </c>
      <c r="F23" s="67" t="s">
        <v>229</v>
      </c>
      <c r="G23" s="67" t="s">
        <v>203</v>
      </c>
      <c r="H23" s="76" t="s">
        <v>178</v>
      </c>
      <c r="I23" s="67" t="s">
        <v>231</v>
      </c>
      <c r="J23" s="71">
        <v>46296</v>
      </c>
      <c r="K23" s="75" t="s">
        <v>23</v>
      </c>
      <c r="L23" s="51" t="s">
        <v>17</v>
      </c>
      <c r="M23" s="81">
        <v>89.9</v>
      </c>
      <c r="N23" s="72">
        <v>0</v>
      </c>
      <c r="O23" s="83">
        <f t="shared" si="0"/>
        <v>89.9</v>
      </c>
    </row>
    <row r="24" spans="2:16" ht="14" x14ac:dyDescent="0.15">
      <c r="B24" s="65">
        <v>22</v>
      </c>
      <c r="C24" s="90" t="s">
        <v>50</v>
      </c>
      <c r="D24" s="96" t="s">
        <v>51</v>
      </c>
      <c r="E24" s="91" t="s">
        <v>233</v>
      </c>
      <c r="F24" s="91" t="s">
        <v>53</v>
      </c>
      <c r="G24" s="88" t="s">
        <v>203</v>
      </c>
      <c r="H24" s="103" t="s">
        <v>167</v>
      </c>
      <c r="I24" s="91" t="s">
        <v>234</v>
      </c>
      <c r="J24" s="104">
        <v>46548</v>
      </c>
      <c r="K24" s="91" t="s">
        <v>23</v>
      </c>
      <c r="L24" s="51" t="s">
        <v>17</v>
      </c>
      <c r="M24" s="108">
        <v>59.9</v>
      </c>
      <c r="N24" s="108">
        <v>0</v>
      </c>
      <c r="O24" s="109">
        <f t="shared" si="0"/>
        <v>59.9</v>
      </c>
    </row>
    <row r="25" spans="2:16" ht="14" x14ac:dyDescent="0.15">
      <c r="B25" s="65">
        <v>23</v>
      </c>
      <c r="C25" s="79" t="s">
        <v>73</v>
      </c>
      <c r="D25" s="67" t="s">
        <v>74</v>
      </c>
      <c r="E25" s="67" t="s">
        <v>75</v>
      </c>
      <c r="F25" s="67" t="s">
        <v>76</v>
      </c>
      <c r="G25" s="67" t="s">
        <v>203</v>
      </c>
      <c r="H25" s="66" t="s">
        <v>196</v>
      </c>
      <c r="I25" s="67" t="s">
        <v>78</v>
      </c>
      <c r="J25" s="71">
        <v>46525</v>
      </c>
      <c r="K25" s="67" t="s">
        <v>66</v>
      </c>
      <c r="L25" s="51" t="s">
        <v>17</v>
      </c>
      <c r="M25" s="72">
        <v>59.9</v>
      </c>
      <c r="N25" s="72">
        <v>0</v>
      </c>
      <c r="O25" s="83">
        <f t="shared" si="0"/>
        <v>59.9</v>
      </c>
    </row>
    <row r="26" spans="2:16" ht="14" x14ac:dyDescent="0.15">
      <c r="B26" s="65">
        <v>24</v>
      </c>
      <c r="C26" s="92" t="s">
        <v>89</v>
      </c>
      <c r="D26" s="88" t="s">
        <v>90</v>
      </c>
      <c r="E26" s="88" t="s">
        <v>91</v>
      </c>
      <c r="F26" s="88" t="s">
        <v>92</v>
      </c>
      <c r="G26" s="88" t="s">
        <v>203</v>
      </c>
      <c r="H26" s="87" t="s">
        <v>167</v>
      </c>
      <c r="I26" s="88" t="s">
        <v>93</v>
      </c>
      <c r="J26" s="106">
        <v>46232</v>
      </c>
      <c r="K26" s="88" t="s">
        <v>66</v>
      </c>
      <c r="L26" s="51" t="s">
        <v>17</v>
      </c>
      <c r="M26" s="107">
        <v>59.9</v>
      </c>
      <c r="N26" s="107">
        <v>0</v>
      </c>
      <c r="O26" s="110">
        <f t="shared" si="0"/>
        <v>59.9</v>
      </c>
    </row>
    <row r="27" spans="2:16" ht="14" x14ac:dyDescent="0.2">
      <c r="B27" s="65">
        <v>25</v>
      </c>
      <c r="C27" s="84" t="s">
        <v>106</v>
      </c>
      <c r="D27" s="67" t="s">
        <v>102</v>
      </c>
      <c r="E27" s="67" t="s">
        <v>103</v>
      </c>
      <c r="F27" s="66" t="s">
        <v>107</v>
      </c>
      <c r="G27" s="67" t="s">
        <v>203</v>
      </c>
      <c r="H27" s="66" t="s">
        <v>167</v>
      </c>
      <c r="I27" s="67" t="s">
        <v>105</v>
      </c>
      <c r="J27" s="71">
        <v>46534</v>
      </c>
      <c r="K27" s="67" t="s">
        <v>66</v>
      </c>
      <c r="L27" s="51" t="s">
        <v>17</v>
      </c>
      <c r="M27" s="72">
        <v>39.9</v>
      </c>
      <c r="N27" s="72">
        <v>0</v>
      </c>
      <c r="O27" s="83">
        <f t="shared" si="0"/>
        <v>39.9</v>
      </c>
    </row>
    <row r="28" spans="2:16" ht="14" x14ac:dyDescent="0.2">
      <c r="B28" s="65">
        <v>26</v>
      </c>
      <c r="C28" s="97" t="s">
        <v>101</v>
      </c>
      <c r="D28" s="88" t="s">
        <v>102</v>
      </c>
      <c r="E28" s="88" t="s">
        <v>103</v>
      </c>
      <c r="F28" s="87" t="s">
        <v>104</v>
      </c>
      <c r="G28" s="87" t="s">
        <v>203</v>
      </c>
      <c r="H28" s="87" t="s">
        <v>167</v>
      </c>
      <c r="I28" s="88" t="s">
        <v>105</v>
      </c>
      <c r="J28" s="88"/>
      <c r="K28" s="88" t="s">
        <v>66</v>
      </c>
      <c r="L28" s="51" t="s">
        <v>17</v>
      </c>
      <c r="M28" s="107">
        <v>39.9</v>
      </c>
      <c r="N28" s="107">
        <v>0</v>
      </c>
      <c r="O28" s="110">
        <f t="shared" si="0"/>
        <v>39.9</v>
      </c>
      <c r="P28" s="115" t="s">
        <v>220</v>
      </c>
    </row>
    <row r="29" spans="2:16" ht="14" x14ac:dyDescent="0.2">
      <c r="B29" s="126">
        <v>27</v>
      </c>
      <c r="C29" s="84" t="s">
        <v>236</v>
      </c>
      <c r="D29" s="85" t="s">
        <v>237</v>
      </c>
      <c r="E29" s="67" t="s">
        <v>238</v>
      </c>
      <c r="F29" s="66" t="s">
        <v>239</v>
      </c>
      <c r="G29" s="67" t="s">
        <v>203</v>
      </c>
      <c r="H29" s="66" t="s">
        <v>167</v>
      </c>
      <c r="I29" s="67" t="s">
        <v>235</v>
      </c>
      <c r="J29" s="71"/>
      <c r="K29" s="67" t="s">
        <v>66</v>
      </c>
      <c r="L29" s="60" t="s">
        <v>215</v>
      </c>
      <c r="M29" s="72"/>
      <c r="N29" s="72">
        <v>0</v>
      </c>
      <c r="O29" s="83">
        <f t="shared" ref="O29" si="1">M29-N29</f>
        <v>0</v>
      </c>
      <c r="P29" s="115" t="s">
        <v>240</v>
      </c>
    </row>
    <row r="31" spans="2:16" ht="14" x14ac:dyDescent="0.15">
      <c r="B31" s="62"/>
      <c r="C31" s="63" t="s">
        <v>0</v>
      </c>
      <c r="D31" s="63" t="s">
        <v>1</v>
      </c>
      <c r="E31" s="63" t="s">
        <v>2</v>
      </c>
      <c r="F31" s="63" t="s">
        <v>221</v>
      </c>
      <c r="G31" s="63" t="s">
        <v>223</v>
      </c>
      <c r="H31" s="63" t="s">
        <v>224</v>
      </c>
      <c r="I31" s="63" t="s">
        <v>8</v>
      </c>
      <c r="J31" s="63" t="s">
        <v>9</v>
      </c>
      <c r="K31" s="63" t="s">
        <v>10</v>
      </c>
      <c r="L31" s="63" t="s">
        <v>7</v>
      </c>
      <c r="N31" s="128">
        <f>SUM(O3:O29)</f>
        <v>1238.1000000000001</v>
      </c>
      <c r="O31" s="128"/>
    </row>
    <row r="32" spans="2:16" ht="14" x14ac:dyDescent="0.15">
      <c r="B32" s="65">
        <v>1</v>
      </c>
      <c r="C32" s="67" t="s">
        <v>210</v>
      </c>
      <c r="D32" s="67" t="s">
        <v>211</v>
      </c>
      <c r="E32" s="67" t="s">
        <v>214</v>
      </c>
      <c r="F32" s="67" t="s">
        <v>222</v>
      </c>
      <c r="G32" s="71">
        <v>46189</v>
      </c>
      <c r="H32" s="86">
        <v>0.35416666666666669</v>
      </c>
      <c r="I32" s="72">
        <v>139.9</v>
      </c>
      <c r="J32" s="72">
        <v>50</v>
      </c>
      <c r="K32" s="72">
        <f>I32-J32</f>
        <v>89.9</v>
      </c>
      <c r="L32" s="51" t="s">
        <v>17</v>
      </c>
      <c r="M32" s="121" t="s">
        <v>241</v>
      </c>
      <c r="N32" s="128"/>
      <c r="O32" s="128"/>
    </row>
    <row r="33" spans="2:13" ht="14" x14ac:dyDescent="0.15">
      <c r="B33" s="65">
        <v>2</v>
      </c>
      <c r="C33" s="88" t="s">
        <v>226</v>
      </c>
      <c r="D33" s="116" t="s">
        <v>216</v>
      </c>
      <c r="E33" s="88" t="s">
        <v>225</v>
      </c>
      <c r="F33" s="88" t="s">
        <v>222</v>
      </c>
      <c r="G33" s="99">
        <v>46189</v>
      </c>
      <c r="H33" s="117">
        <v>0.625</v>
      </c>
      <c r="I33" s="107">
        <v>139.9</v>
      </c>
      <c r="J33" s="107">
        <v>50</v>
      </c>
      <c r="K33" s="107">
        <f t="shared" ref="K33:K37" si="2">I33-J33</f>
        <v>89.9</v>
      </c>
      <c r="L33" s="51" t="s">
        <v>17</v>
      </c>
      <c r="M33" s="121"/>
    </row>
    <row r="34" spans="2:13" ht="14" x14ac:dyDescent="0.15">
      <c r="B34" s="65">
        <v>3</v>
      </c>
      <c r="C34" s="67" t="s">
        <v>242</v>
      </c>
      <c r="D34" s="67" t="s">
        <v>243</v>
      </c>
      <c r="E34" s="67"/>
      <c r="F34" s="67"/>
      <c r="G34" s="71"/>
      <c r="H34" s="86"/>
      <c r="I34" s="72">
        <v>119.9</v>
      </c>
      <c r="J34" s="72">
        <v>50</v>
      </c>
      <c r="K34" s="72">
        <f t="shared" si="2"/>
        <v>69.900000000000006</v>
      </c>
      <c r="M34" s="121"/>
    </row>
    <row r="35" spans="2:13" ht="14" x14ac:dyDescent="0.15">
      <c r="B35" s="65">
        <v>4</v>
      </c>
      <c r="C35" s="88" t="s">
        <v>242</v>
      </c>
      <c r="D35" s="88" t="s">
        <v>244</v>
      </c>
      <c r="E35" s="88"/>
      <c r="F35" s="88"/>
      <c r="G35" s="99"/>
      <c r="H35" s="117"/>
      <c r="I35" s="107">
        <v>119.9</v>
      </c>
      <c r="J35" s="107">
        <v>50</v>
      </c>
      <c r="K35" s="107">
        <f t="shared" si="2"/>
        <v>69.900000000000006</v>
      </c>
      <c r="M35" s="121"/>
    </row>
    <row r="36" spans="2:13" ht="14" x14ac:dyDescent="0.15">
      <c r="B36" s="65">
        <v>5</v>
      </c>
      <c r="C36" s="67"/>
      <c r="D36" s="67"/>
      <c r="E36" s="67"/>
      <c r="F36" s="67"/>
      <c r="G36" s="71"/>
      <c r="H36" s="86"/>
      <c r="I36" s="86"/>
      <c r="J36" s="86"/>
      <c r="K36" s="72">
        <f t="shared" si="2"/>
        <v>0</v>
      </c>
      <c r="M36" s="121"/>
    </row>
    <row r="37" spans="2:13" ht="14" x14ac:dyDescent="0.15">
      <c r="B37" s="65">
        <v>6</v>
      </c>
      <c r="C37" s="88"/>
      <c r="D37" s="88"/>
      <c r="E37" s="88"/>
      <c r="F37" s="88"/>
      <c r="G37" s="99"/>
      <c r="H37" s="117"/>
      <c r="I37" s="117"/>
      <c r="J37" s="117"/>
      <c r="K37" s="107">
        <f t="shared" si="2"/>
        <v>0</v>
      </c>
      <c r="M37" s="121"/>
    </row>
    <row r="39" spans="2:13" x14ac:dyDescent="0.15">
      <c r="K39" s="129">
        <f>SUM(K32:K38)</f>
        <v>319.60000000000002</v>
      </c>
    </row>
    <row r="40" spans="2:13" ht="14" x14ac:dyDescent="0.15">
      <c r="F40" s="118" t="s">
        <v>200</v>
      </c>
      <c r="G40" s="119">
        <v>46091</v>
      </c>
      <c r="H40" s="127" t="s">
        <v>162</v>
      </c>
      <c r="I40" s="122">
        <v>437.8</v>
      </c>
      <c r="K40" s="129"/>
    </row>
    <row r="41" spans="2:13" ht="14" x14ac:dyDescent="0.15">
      <c r="F41" s="123" t="s">
        <v>200</v>
      </c>
      <c r="G41" s="124">
        <v>46122</v>
      </c>
      <c r="H41" s="127" t="s">
        <v>162</v>
      </c>
      <c r="I41" s="125">
        <v>437.8</v>
      </c>
    </row>
    <row r="42" spans="2:13" ht="14" x14ac:dyDescent="0.15">
      <c r="F42" s="118" t="s">
        <v>200</v>
      </c>
      <c r="G42" s="119">
        <v>46152</v>
      </c>
      <c r="H42" s="127" t="s">
        <v>162</v>
      </c>
      <c r="I42" s="122">
        <v>417.9</v>
      </c>
    </row>
    <row r="43" spans="2:13" ht="14" x14ac:dyDescent="0.15">
      <c r="F43" s="123" t="s">
        <v>200</v>
      </c>
      <c r="G43" s="124">
        <v>46183</v>
      </c>
      <c r="H43" s="127" t="s">
        <v>162</v>
      </c>
      <c r="I43" s="125">
        <v>378.1</v>
      </c>
    </row>
    <row r="44" spans="2:13" ht="14" x14ac:dyDescent="0.2">
      <c r="F44" s="120"/>
      <c r="G44" s="120"/>
      <c r="I44" s="121"/>
    </row>
    <row r="45" spans="2:13" ht="14" x14ac:dyDescent="0.15">
      <c r="F45" s="118" t="s">
        <v>201</v>
      </c>
      <c r="G45" s="119">
        <v>46101</v>
      </c>
      <c r="H45" s="127" t="s">
        <v>162</v>
      </c>
      <c r="I45" s="122">
        <v>200</v>
      </c>
    </row>
    <row r="46" spans="2:13" ht="14" x14ac:dyDescent="0.15">
      <c r="F46" s="123" t="s">
        <v>201</v>
      </c>
      <c r="G46" s="124">
        <v>46132</v>
      </c>
      <c r="H46" s="51" t="s">
        <v>17</v>
      </c>
      <c r="I46" s="125">
        <v>200</v>
      </c>
    </row>
    <row r="47" spans="2:13" ht="14" x14ac:dyDescent="0.15">
      <c r="F47" s="118" t="s">
        <v>201</v>
      </c>
      <c r="G47" s="119">
        <v>46162</v>
      </c>
      <c r="H47" s="51" t="s">
        <v>17</v>
      </c>
      <c r="I47" s="122">
        <v>200</v>
      </c>
    </row>
    <row r="48" spans="2:13" ht="14" x14ac:dyDescent="0.15">
      <c r="F48" s="123" t="s">
        <v>201</v>
      </c>
      <c r="G48" s="124">
        <v>46193</v>
      </c>
      <c r="H48" s="127" t="s">
        <v>162</v>
      </c>
      <c r="I48" s="125">
        <v>200</v>
      </c>
    </row>
    <row r="49" spans="6:9" ht="14" x14ac:dyDescent="0.2">
      <c r="F49" s="120"/>
      <c r="I49" s="121"/>
    </row>
    <row r="50" spans="6:9" ht="14" x14ac:dyDescent="0.15">
      <c r="F50" s="118" t="s">
        <v>199</v>
      </c>
      <c r="G50" s="119">
        <v>46162</v>
      </c>
      <c r="H50" s="51" t="s">
        <v>17</v>
      </c>
      <c r="I50" s="122">
        <v>150</v>
      </c>
    </row>
    <row r="51" spans="6:9" ht="14" x14ac:dyDescent="0.15">
      <c r="F51" s="123" t="s">
        <v>199</v>
      </c>
      <c r="G51" s="124">
        <v>46193</v>
      </c>
      <c r="H51" s="51" t="s">
        <v>17</v>
      </c>
      <c r="I51" s="125">
        <v>200</v>
      </c>
    </row>
  </sheetData>
  <mergeCells count="2">
    <mergeCell ref="N31:O32"/>
    <mergeCell ref="K39:K4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758B-FFEC-B84E-A0B0-FFF03723613A}">
  <dimension ref="B2:P51"/>
  <sheetViews>
    <sheetView tabSelected="1" zoomScale="130" zoomScaleNormal="130" workbookViewId="0">
      <selection activeCell="F20" sqref="F20"/>
    </sheetView>
  </sheetViews>
  <sheetFormatPr baseColWidth="10" defaultRowHeight="13" x14ac:dyDescent="0.15"/>
  <cols>
    <col min="1" max="1" width="1.33203125" style="61" customWidth="1"/>
    <col min="2" max="2" width="2.83203125" style="61" bestFit="1" customWidth="1"/>
    <col min="3" max="3" width="15.5" style="61" bestFit="1" customWidth="1"/>
    <col min="4" max="4" width="30" style="61" bestFit="1" customWidth="1"/>
    <col min="5" max="5" width="12.6640625" style="61" bestFit="1" customWidth="1"/>
    <col min="6" max="6" width="43" style="61" bestFit="1" customWidth="1"/>
    <col min="7" max="7" width="12.6640625" style="61" bestFit="1" customWidth="1"/>
    <col min="8" max="8" width="9.5" style="61" bestFit="1" customWidth="1"/>
    <col min="9" max="9" width="12" style="61" bestFit="1" customWidth="1"/>
    <col min="10" max="10" width="10.5" style="61" bestFit="1" customWidth="1"/>
    <col min="11" max="12" width="11" style="61" bestFit="1" customWidth="1"/>
    <col min="13" max="13" width="9" style="61" bestFit="1" customWidth="1"/>
    <col min="14" max="14" width="9.5" style="61" bestFit="1" customWidth="1"/>
    <col min="15" max="15" width="9" style="61" bestFit="1" customWidth="1"/>
    <col min="16" max="16" width="18.6640625" style="113" bestFit="1" customWidth="1"/>
    <col min="17" max="16384" width="10.83203125" style="61"/>
  </cols>
  <sheetData>
    <row r="2" spans="2:16" ht="14" x14ac:dyDescent="0.15">
      <c r="B2" s="62"/>
      <c r="C2" s="63" t="s">
        <v>0</v>
      </c>
      <c r="D2" s="63" t="s">
        <v>1</v>
      </c>
      <c r="E2" s="63" t="s">
        <v>2</v>
      </c>
      <c r="F2" s="63" t="s">
        <v>3</v>
      </c>
      <c r="G2" s="63" t="s">
        <v>202</v>
      </c>
      <c r="H2" s="63" t="s">
        <v>4</v>
      </c>
      <c r="I2" s="63" t="s">
        <v>5</v>
      </c>
      <c r="J2" s="63" t="s">
        <v>166</v>
      </c>
      <c r="K2" s="63" t="s">
        <v>6</v>
      </c>
      <c r="L2" s="63" t="s">
        <v>7</v>
      </c>
      <c r="M2" s="63" t="s">
        <v>8</v>
      </c>
      <c r="N2" s="63" t="s">
        <v>9</v>
      </c>
      <c r="O2" s="64" t="s">
        <v>10</v>
      </c>
    </row>
    <row r="3" spans="2:16" ht="14" x14ac:dyDescent="0.15">
      <c r="B3" s="65">
        <v>1</v>
      </c>
      <c r="C3" s="66" t="s">
        <v>11</v>
      </c>
      <c r="D3" s="67" t="s">
        <v>12</v>
      </c>
      <c r="E3" s="67" t="s">
        <v>13</v>
      </c>
      <c r="F3" s="66" t="s">
        <v>14</v>
      </c>
      <c r="G3" s="66" t="s">
        <v>203</v>
      </c>
      <c r="H3" s="66" t="s">
        <v>167</v>
      </c>
      <c r="I3" s="66" t="s">
        <v>16</v>
      </c>
      <c r="J3" s="68">
        <v>46680</v>
      </c>
      <c r="K3" s="68">
        <v>46315</v>
      </c>
      <c r="L3" s="51" t="s">
        <v>17</v>
      </c>
      <c r="M3" s="72">
        <v>0</v>
      </c>
      <c r="N3" s="72">
        <v>19.899999999999999</v>
      </c>
      <c r="O3" s="72">
        <f t="shared" ref="O3:O29" si="0">M3-N3</f>
        <v>-19.899999999999999</v>
      </c>
      <c r="P3" s="114" t="s">
        <v>217</v>
      </c>
    </row>
    <row r="4" spans="2:16" ht="14" x14ac:dyDescent="0.2">
      <c r="B4" s="65">
        <v>2</v>
      </c>
      <c r="C4" s="89" t="s">
        <v>94</v>
      </c>
      <c r="D4" s="88" t="s">
        <v>95</v>
      </c>
      <c r="E4" s="88" t="s">
        <v>96</v>
      </c>
      <c r="F4" s="87" t="s">
        <v>97</v>
      </c>
      <c r="G4" s="87" t="s">
        <v>203</v>
      </c>
      <c r="H4" s="87" t="s">
        <v>167</v>
      </c>
      <c r="I4" s="88" t="s">
        <v>98</v>
      </c>
      <c r="J4" s="98">
        <v>46323</v>
      </c>
      <c r="K4" s="98">
        <v>46323</v>
      </c>
      <c r="L4" s="51" t="s">
        <v>17</v>
      </c>
      <c r="M4" s="107">
        <v>0</v>
      </c>
      <c r="N4" s="72">
        <v>19.899999999999999</v>
      </c>
      <c r="O4" s="107">
        <f t="shared" si="0"/>
        <v>-19.899999999999999</v>
      </c>
      <c r="P4" s="114" t="s">
        <v>217</v>
      </c>
    </row>
    <row r="5" spans="2:16" ht="14" x14ac:dyDescent="0.2">
      <c r="B5" s="65">
        <v>3</v>
      </c>
      <c r="C5" s="69" t="s">
        <v>99</v>
      </c>
      <c r="D5" s="67" t="s">
        <v>95</v>
      </c>
      <c r="E5" s="67" t="s">
        <v>96</v>
      </c>
      <c r="F5" s="66" t="s">
        <v>100</v>
      </c>
      <c r="G5" s="66" t="s">
        <v>203</v>
      </c>
      <c r="H5" s="66" t="s">
        <v>167</v>
      </c>
      <c r="I5" s="67" t="s">
        <v>98</v>
      </c>
      <c r="J5" s="70">
        <v>46323</v>
      </c>
      <c r="K5" s="70">
        <v>46323</v>
      </c>
      <c r="L5" s="51" t="s">
        <v>17</v>
      </c>
      <c r="M5" s="72">
        <v>0</v>
      </c>
      <c r="N5" s="72">
        <v>19.899999999999999</v>
      </c>
      <c r="O5" s="72">
        <f t="shared" si="0"/>
        <v>-19.899999999999999</v>
      </c>
      <c r="P5" s="114" t="s">
        <v>217</v>
      </c>
    </row>
    <row r="6" spans="2:16" ht="14" x14ac:dyDescent="0.15">
      <c r="B6" s="65">
        <v>4</v>
      </c>
      <c r="C6" s="88" t="s">
        <v>84</v>
      </c>
      <c r="D6" s="88" t="s">
        <v>85</v>
      </c>
      <c r="E6" s="88" t="s">
        <v>86</v>
      </c>
      <c r="F6" s="88" t="s">
        <v>87</v>
      </c>
      <c r="G6" s="88" t="s">
        <v>203</v>
      </c>
      <c r="H6" s="87" t="s">
        <v>167</v>
      </c>
      <c r="I6" s="88" t="s">
        <v>88</v>
      </c>
      <c r="J6" s="98">
        <v>46305</v>
      </c>
      <c r="K6" s="98">
        <v>46346</v>
      </c>
      <c r="L6" s="51" t="s">
        <v>17</v>
      </c>
      <c r="M6" s="107">
        <v>0</v>
      </c>
      <c r="N6" s="72">
        <v>19.899999999999999</v>
      </c>
      <c r="O6" s="107">
        <f t="shared" si="0"/>
        <v>-19.899999999999999</v>
      </c>
      <c r="P6" s="114" t="s">
        <v>217</v>
      </c>
    </row>
    <row r="7" spans="2:16" ht="14" x14ac:dyDescent="0.15">
      <c r="B7" s="65">
        <v>5</v>
      </c>
      <c r="C7" s="67" t="s">
        <v>204</v>
      </c>
      <c r="D7" s="67" t="s">
        <v>205</v>
      </c>
      <c r="E7" s="67" t="s">
        <v>206</v>
      </c>
      <c r="F7" s="67" t="s">
        <v>207</v>
      </c>
      <c r="G7" s="67" t="s">
        <v>201</v>
      </c>
      <c r="H7" s="66" t="s">
        <v>208</v>
      </c>
      <c r="I7" s="67" t="s">
        <v>209</v>
      </c>
      <c r="J7" s="71">
        <v>46469</v>
      </c>
      <c r="K7" s="71">
        <v>46397</v>
      </c>
      <c r="L7" s="51" t="s">
        <v>17</v>
      </c>
      <c r="M7" s="72">
        <v>0</v>
      </c>
      <c r="N7" s="72">
        <v>100</v>
      </c>
      <c r="O7" s="72">
        <f t="shared" si="0"/>
        <v>-100</v>
      </c>
      <c r="P7" s="114" t="s">
        <v>218</v>
      </c>
    </row>
    <row r="8" spans="2:16" ht="14" x14ac:dyDescent="0.15">
      <c r="B8" s="65">
        <v>6</v>
      </c>
      <c r="C8" s="88" t="s">
        <v>210</v>
      </c>
      <c r="D8" s="88" t="s">
        <v>211</v>
      </c>
      <c r="E8" s="88" t="s">
        <v>214</v>
      </c>
      <c r="F8" s="88" t="s">
        <v>212</v>
      </c>
      <c r="G8" s="88" t="s">
        <v>201</v>
      </c>
      <c r="H8" s="87" t="s">
        <v>208</v>
      </c>
      <c r="I8" s="88" t="s">
        <v>213</v>
      </c>
      <c r="J8" s="135">
        <v>46577</v>
      </c>
      <c r="K8" s="99">
        <v>46397</v>
      </c>
      <c r="L8" s="51" t="s">
        <v>17</v>
      </c>
      <c r="M8" s="107">
        <v>0</v>
      </c>
      <c r="N8" s="72">
        <v>100</v>
      </c>
      <c r="O8" s="107">
        <f t="shared" si="0"/>
        <v>-100</v>
      </c>
      <c r="P8" s="114" t="s">
        <v>218</v>
      </c>
    </row>
    <row r="9" spans="2:16" ht="14" x14ac:dyDescent="0.15">
      <c r="B9" s="65">
        <v>7</v>
      </c>
      <c r="C9" s="67" t="s">
        <v>190</v>
      </c>
      <c r="D9" s="67" t="s">
        <v>189</v>
      </c>
      <c r="E9" s="67" t="s">
        <v>188</v>
      </c>
      <c r="F9" s="67" t="s">
        <v>191</v>
      </c>
      <c r="G9" s="67" t="s">
        <v>203</v>
      </c>
      <c r="H9" s="66" t="s">
        <v>167</v>
      </c>
      <c r="I9" s="67" t="s">
        <v>187</v>
      </c>
      <c r="J9" s="71">
        <v>46481</v>
      </c>
      <c r="K9" s="71">
        <v>46479</v>
      </c>
      <c r="L9" s="51" t="s">
        <v>17</v>
      </c>
      <c r="M9" s="72">
        <v>0</v>
      </c>
      <c r="N9" s="72">
        <v>19.899999999999999</v>
      </c>
      <c r="O9" s="72">
        <f t="shared" si="0"/>
        <v>-19.899999999999999</v>
      </c>
      <c r="P9" s="114" t="s">
        <v>219</v>
      </c>
    </row>
    <row r="10" spans="2:16" ht="14" x14ac:dyDescent="0.15">
      <c r="B10" s="65"/>
      <c r="C10" s="131" t="s">
        <v>245</v>
      </c>
      <c r="D10" s="131" t="s">
        <v>246</v>
      </c>
      <c r="E10" s="131" t="s">
        <v>247</v>
      </c>
      <c r="F10" s="131" t="s">
        <v>248</v>
      </c>
      <c r="G10" s="132" t="s">
        <v>203</v>
      </c>
      <c r="H10" s="133" t="s">
        <v>249</v>
      </c>
      <c r="I10" s="131" t="s">
        <v>250</v>
      </c>
      <c r="J10" s="134">
        <v>46541</v>
      </c>
      <c r="K10" s="134">
        <v>46581</v>
      </c>
      <c r="L10" s="51" t="s">
        <v>17</v>
      </c>
      <c r="M10" s="72">
        <v>0</v>
      </c>
      <c r="N10" s="72">
        <v>19.899999999999999</v>
      </c>
      <c r="O10" s="72">
        <f t="shared" ref="O10" si="1">M10-N10</f>
        <v>-19.899999999999999</v>
      </c>
      <c r="P10" s="130"/>
    </row>
    <row r="11" spans="2:16" ht="14" x14ac:dyDescent="0.2">
      <c r="B11" s="65"/>
      <c r="C11" s="84" t="s">
        <v>236</v>
      </c>
      <c r="D11" s="85" t="s">
        <v>237</v>
      </c>
      <c r="E11" s="67" t="s">
        <v>238</v>
      </c>
      <c r="F11" s="66" t="s">
        <v>239</v>
      </c>
      <c r="G11" s="67" t="s">
        <v>203</v>
      </c>
      <c r="H11" s="66" t="s">
        <v>167</v>
      </c>
      <c r="I11" s="67" t="s">
        <v>235</v>
      </c>
      <c r="J11" s="71">
        <v>46486</v>
      </c>
      <c r="K11" s="67" t="s">
        <v>251</v>
      </c>
      <c r="L11" s="51" t="s">
        <v>17</v>
      </c>
      <c r="M11" s="72">
        <v>59.9</v>
      </c>
      <c r="N11" s="72">
        <v>19.899999999999999</v>
      </c>
      <c r="O11" s="83">
        <f>M11-N11</f>
        <v>40</v>
      </c>
      <c r="P11" s="115" t="s">
        <v>240</v>
      </c>
    </row>
    <row r="12" spans="2:16" ht="14" x14ac:dyDescent="0.15">
      <c r="B12" s="65">
        <v>8</v>
      </c>
      <c r="C12" s="90" t="s">
        <v>175</v>
      </c>
      <c r="D12" s="91" t="s">
        <v>176</v>
      </c>
      <c r="E12" s="91" t="s">
        <v>177</v>
      </c>
      <c r="F12" s="91" t="s">
        <v>174</v>
      </c>
      <c r="G12" s="88" t="s">
        <v>203</v>
      </c>
      <c r="H12" s="101" t="s">
        <v>178</v>
      </c>
      <c r="I12" s="91" t="s">
        <v>179</v>
      </c>
      <c r="J12" s="102">
        <v>46583</v>
      </c>
      <c r="K12" s="91" t="s">
        <v>23</v>
      </c>
      <c r="L12" s="51" t="s">
        <v>17</v>
      </c>
      <c r="M12" s="108">
        <v>89.9</v>
      </c>
      <c r="N12" s="72">
        <v>19.899999999999999</v>
      </c>
      <c r="O12" s="109">
        <f t="shared" si="0"/>
        <v>70</v>
      </c>
    </row>
    <row r="13" spans="2:16" ht="14" x14ac:dyDescent="0.15">
      <c r="B13" s="65">
        <v>9</v>
      </c>
      <c r="C13" s="74" t="s">
        <v>129</v>
      </c>
      <c r="D13" s="75" t="s">
        <v>130</v>
      </c>
      <c r="E13" s="75" t="s">
        <v>169</v>
      </c>
      <c r="F13" s="75" t="s">
        <v>132</v>
      </c>
      <c r="G13" s="67" t="s">
        <v>203</v>
      </c>
      <c r="H13" s="78" t="s">
        <v>167</v>
      </c>
      <c r="I13" s="75" t="s">
        <v>168</v>
      </c>
      <c r="J13" s="77">
        <v>46333</v>
      </c>
      <c r="K13" s="75" t="s">
        <v>23</v>
      </c>
      <c r="L13" s="51" t="s">
        <v>17</v>
      </c>
      <c r="M13" s="81">
        <v>59.9</v>
      </c>
      <c r="N13" s="72">
        <v>19.899999999999999</v>
      </c>
      <c r="O13" s="82">
        <f t="shared" si="0"/>
        <v>40</v>
      </c>
    </row>
    <row r="14" spans="2:16" ht="14" x14ac:dyDescent="0.15">
      <c r="B14" s="65">
        <v>10</v>
      </c>
      <c r="C14" s="92" t="s">
        <v>149</v>
      </c>
      <c r="D14" s="88" t="s">
        <v>172</v>
      </c>
      <c r="E14" s="88" t="s">
        <v>171</v>
      </c>
      <c r="F14" s="88" t="s">
        <v>150</v>
      </c>
      <c r="G14" s="88" t="s">
        <v>203</v>
      </c>
      <c r="H14" s="101" t="s">
        <v>178</v>
      </c>
      <c r="I14" s="88" t="s">
        <v>170</v>
      </c>
      <c r="J14" s="99">
        <v>46337</v>
      </c>
      <c r="K14" s="88" t="s">
        <v>23</v>
      </c>
      <c r="L14" s="51" t="s">
        <v>17</v>
      </c>
      <c r="M14" s="107">
        <v>89.9</v>
      </c>
      <c r="N14" s="72">
        <v>19.899999999999999</v>
      </c>
      <c r="O14" s="110">
        <f t="shared" si="0"/>
        <v>70</v>
      </c>
    </row>
    <row r="15" spans="2:16" ht="14" x14ac:dyDescent="0.15">
      <c r="B15" s="65">
        <v>11</v>
      </c>
      <c r="C15" s="79" t="s">
        <v>151</v>
      </c>
      <c r="D15" s="67" t="s">
        <v>173</v>
      </c>
      <c r="E15" s="67" t="s">
        <v>131</v>
      </c>
      <c r="F15" s="67" t="s">
        <v>152</v>
      </c>
      <c r="G15" s="67" t="s">
        <v>203</v>
      </c>
      <c r="H15" s="76" t="s">
        <v>178</v>
      </c>
      <c r="I15" s="67" t="s">
        <v>133</v>
      </c>
      <c r="J15" s="71">
        <v>46344</v>
      </c>
      <c r="K15" s="67" t="s">
        <v>23</v>
      </c>
      <c r="L15" s="60" t="s">
        <v>215</v>
      </c>
      <c r="M15" s="72">
        <v>89.9</v>
      </c>
      <c r="N15" s="72">
        <v>19.899999999999999</v>
      </c>
      <c r="O15" s="83">
        <f t="shared" si="0"/>
        <v>70</v>
      </c>
    </row>
    <row r="16" spans="2:16" ht="14" x14ac:dyDescent="0.15">
      <c r="B16" s="65">
        <v>12</v>
      </c>
      <c r="C16" s="93" t="s">
        <v>18</v>
      </c>
      <c r="D16" s="88" t="s">
        <v>19</v>
      </c>
      <c r="E16" s="88" t="s">
        <v>20</v>
      </c>
      <c r="F16" s="87" t="s">
        <v>165</v>
      </c>
      <c r="G16" s="88" t="s">
        <v>203</v>
      </c>
      <c r="H16" s="87" t="s">
        <v>167</v>
      </c>
      <c r="I16" s="87" t="s">
        <v>22</v>
      </c>
      <c r="J16" s="135">
        <v>46570</v>
      </c>
      <c r="K16" s="87" t="s">
        <v>23</v>
      </c>
      <c r="L16" s="51" t="s">
        <v>17</v>
      </c>
      <c r="M16" s="107">
        <v>59.9</v>
      </c>
      <c r="N16" s="72">
        <v>19.899999999999999</v>
      </c>
      <c r="O16" s="110">
        <f t="shared" si="0"/>
        <v>40</v>
      </c>
    </row>
    <row r="17" spans="2:16" ht="14" x14ac:dyDescent="0.15">
      <c r="B17" s="65">
        <v>13</v>
      </c>
      <c r="C17" s="80" t="s">
        <v>24</v>
      </c>
      <c r="D17" s="67" t="s">
        <v>25</v>
      </c>
      <c r="E17" s="67" t="s">
        <v>20</v>
      </c>
      <c r="F17" s="66" t="s">
        <v>26</v>
      </c>
      <c r="G17" s="67" t="s">
        <v>203</v>
      </c>
      <c r="H17" s="66" t="s">
        <v>167</v>
      </c>
      <c r="I17" s="66" t="s">
        <v>22</v>
      </c>
      <c r="J17" s="136">
        <v>46570</v>
      </c>
      <c r="K17" s="66" t="s">
        <v>23</v>
      </c>
      <c r="L17" s="51" t="s">
        <v>17</v>
      </c>
      <c r="M17" s="72">
        <v>59.9</v>
      </c>
      <c r="N17" s="72">
        <v>19.899999999999999</v>
      </c>
      <c r="O17" s="83">
        <f t="shared" si="0"/>
        <v>40</v>
      </c>
    </row>
    <row r="18" spans="2:16" ht="14" x14ac:dyDescent="0.15">
      <c r="B18" s="65">
        <v>14</v>
      </c>
      <c r="C18" s="92" t="s">
        <v>45</v>
      </c>
      <c r="D18" s="88" t="s">
        <v>46</v>
      </c>
      <c r="E18" s="88" t="s">
        <v>47</v>
      </c>
      <c r="F18" s="88" t="s">
        <v>48</v>
      </c>
      <c r="G18" s="88" t="s">
        <v>203</v>
      </c>
      <c r="H18" s="87" t="s">
        <v>164</v>
      </c>
      <c r="I18" s="88" t="s">
        <v>49</v>
      </c>
      <c r="J18" s="99">
        <v>46319</v>
      </c>
      <c r="K18" s="88" t="s">
        <v>23</v>
      </c>
      <c r="L18" s="51" t="s">
        <v>17</v>
      </c>
      <c r="M18" s="107">
        <v>79.900000000000006</v>
      </c>
      <c r="N18" s="72">
        <v>19.899999999999999</v>
      </c>
      <c r="O18" s="110">
        <f t="shared" si="0"/>
        <v>60.000000000000007</v>
      </c>
    </row>
    <row r="19" spans="2:16" ht="14" x14ac:dyDescent="0.15">
      <c r="B19" s="65">
        <v>15</v>
      </c>
      <c r="C19" s="79" t="s">
        <v>153</v>
      </c>
      <c r="D19" s="67" t="s">
        <v>183</v>
      </c>
      <c r="E19" s="67" t="s">
        <v>185</v>
      </c>
      <c r="F19" s="67" t="s">
        <v>155</v>
      </c>
      <c r="G19" s="67" t="s">
        <v>203</v>
      </c>
      <c r="H19" s="76" t="s">
        <v>167</v>
      </c>
      <c r="I19" s="67" t="s">
        <v>186</v>
      </c>
      <c r="J19" s="71">
        <v>46504</v>
      </c>
      <c r="K19" s="67" t="s">
        <v>23</v>
      </c>
      <c r="L19" s="51" t="s">
        <v>17</v>
      </c>
      <c r="M19" s="72">
        <v>59.9</v>
      </c>
      <c r="N19" s="72">
        <v>19.899999999999999</v>
      </c>
      <c r="O19" s="83">
        <f t="shared" si="0"/>
        <v>40</v>
      </c>
    </row>
    <row r="20" spans="2:16" ht="14" x14ac:dyDescent="0.15">
      <c r="B20" s="65">
        <v>16</v>
      </c>
      <c r="C20" s="92" t="s">
        <v>154</v>
      </c>
      <c r="D20" s="88" t="s">
        <v>184</v>
      </c>
      <c r="E20" s="88" t="s">
        <v>185</v>
      </c>
      <c r="F20" s="88" t="s">
        <v>156</v>
      </c>
      <c r="G20" s="88" t="s">
        <v>203</v>
      </c>
      <c r="H20" s="101" t="s">
        <v>167</v>
      </c>
      <c r="I20" s="88" t="s">
        <v>186</v>
      </c>
      <c r="J20" s="99">
        <v>46504</v>
      </c>
      <c r="K20" s="88" t="s">
        <v>23</v>
      </c>
      <c r="L20" s="51" t="s">
        <v>17</v>
      </c>
      <c r="M20" s="107">
        <v>59.9</v>
      </c>
      <c r="N20" s="72">
        <v>19.899999999999999</v>
      </c>
      <c r="O20" s="110">
        <f t="shared" si="0"/>
        <v>40</v>
      </c>
    </row>
    <row r="21" spans="2:16" ht="14" x14ac:dyDescent="0.15">
      <c r="B21" s="65">
        <v>17</v>
      </c>
      <c r="C21" s="79" t="s">
        <v>157</v>
      </c>
      <c r="D21" s="67" t="s">
        <v>182</v>
      </c>
      <c r="E21" s="67" t="s">
        <v>41</v>
      </c>
      <c r="F21" s="67" t="s">
        <v>158</v>
      </c>
      <c r="G21" s="67" t="s">
        <v>203</v>
      </c>
      <c r="H21" s="76" t="s">
        <v>181</v>
      </c>
      <c r="I21" s="67" t="s">
        <v>159</v>
      </c>
      <c r="J21" s="71">
        <v>46395</v>
      </c>
      <c r="K21" s="67" t="s">
        <v>23</v>
      </c>
      <c r="L21" s="51" t="s">
        <v>17</v>
      </c>
      <c r="M21" s="72">
        <v>59.9</v>
      </c>
      <c r="N21" s="72">
        <v>19.899999999999999</v>
      </c>
      <c r="O21" s="83">
        <f t="shared" si="0"/>
        <v>40</v>
      </c>
    </row>
    <row r="22" spans="2:16" ht="14" x14ac:dyDescent="0.15">
      <c r="B22" s="65">
        <v>18</v>
      </c>
      <c r="C22" s="94" t="s">
        <v>55</v>
      </c>
      <c r="D22" s="95" t="s">
        <v>56</v>
      </c>
      <c r="E22" s="95" t="s">
        <v>57</v>
      </c>
      <c r="F22" s="95" t="s">
        <v>58</v>
      </c>
      <c r="G22" s="88" t="s">
        <v>203</v>
      </c>
      <c r="H22" s="101" t="s">
        <v>167</v>
      </c>
      <c r="I22" s="95" t="s">
        <v>59</v>
      </c>
      <c r="J22" s="105">
        <v>46325</v>
      </c>
      <c r="K22" s="95" t="s">
        <v>23</v>
      </c>
      <c r="L22" s="51" t="s">
        <v>17</v>
      </c>
      <c r="M22" s="111">
        <v>59.9</v>
      </c>
      <c r="N22" s="72">
        <v>19.899999999999999</v>
      </c>
      <c r="O22" s="112">
        <f t="shared" si="0"/>
        <v>40</v>
      </c>
    </row>
    <row r="23" spans="2:16" ht="14" x14ac:dyDescent="0.15">
      <c r="B23" s="65">
        <v>19</v>
      </c>
      <c r="C23" s="79" t="s">
        <v>180</v>
      </c>
      <c r="D23" s="67" t="s">
        <v>61</v>
      </c>
      <c r="E23" s="67" t="s">
        <v>62</v>
      </c>
      <c r="F23" s="67" t="s">
        <v>145</v>
      </c>
      <c r="G23" s="67" t="s">
        <v>203</v>
      </c>
      <c r="H23" s="78" t="s">
        <v>167</v>
      </c>
      <c r="I23" s="67" t="s">
        <v>65</v>
      </c>
      <c r="J23" s="71">
        <v>46353</v>
      </c>
      <c r="K23" s="67" t="s">
        <v>23</v>
      </c>
      <c r="L23" s="51" t="s">
        <v>17</v>
      </c>
      <c r="M23" s="81">
        <v>59.9</v>
      </c>
      <c r="N23" s="72">
        <v>19.899999999999999</v>
      </c>
      <c r="O23" s="83">
        <f t="shared" si="0"/>
        <v>40</v>
      </c>
    </row>
    <row r="24" spans="2:16" ht="14" x14ac:dyDescent="0.15">
      <c r="B24" s="65">
        <v>20</v>
      </c>
      <c r="C24" s="90" t="s">
        <v>60</v>
      </c>
      <c r="D24" s="91" t="s">
        <v>61</v>
      </c>
      <c r="E24" s="91" t="s">
        <v>62</v>
      </c>
      <c r="F24" s="91" t="s">
        <v>63</v>
      </c>
      <c r="G24" s="88" t="s">
        <v>203</v>
      </c>
      <c r="H24" s="103" t="s">
        <v>167</v>
      </c>
      <c r="I24" s="91" t="s">
        <v>65</v>
      </c>
      <c r="J24" s="104">
        <v>46247</v>
      </c>
      <c r="K24" s="91" t="s">
        <v>23</v>
      </c>
      <c r="L24" s="51" t="s">
        <v>17</v>
      </c>
      <c r="M24" s="108">
        <v>59.9</v>
      </c>
      <c r="N24" s="72">
        <v>19.899999999999999</v>
      </c>
      <c r="O24" s="109">
        <f t="shared" si="0"/>
        <v>40</v>
      </c>
    </row>
    <row r="25" spans="2:16" ht="14" x14ac:dyDescent="0.15">
      <c r="B25" s="65">
        <v>21</v>
      </c>
      <c r="C25" s="79" t="s">
        <v>228</v>
      </c>
      <c r="D25" s="85" t="s">
        <v>230</v>
      </c>
      <c r="E25" s="67" t="s">
        <v>232</v>
      </c>
      <c r="F25" s="67" t="s">
        <v>229</v>
      </c>
      <c r="G25" s="67" t="s">
        <v>203</v>
      </c>
      <c r="H25" s="76" t="s">
        <v>178</v>
      </c>
      <c r="I25" s="67" t="s">
        <v>231</v>
      </c>
      <c r="J25" s="71">
        <v>46296</v>
      </c>
      <c r="K25" s="75" t="s">
        <v>23</v>
      </c>
      <c r="L25" s="51" t="s">
        <v>17</v>
      </c>
      <c r="M25" s="81">
        <v>89.9</v>
      </c>
      <c r="N25" s="72">
        <v>19.899999999999999</v>
      </c>
      <c r="O25" s="83">
        <f t="shared" si="0"/>
        <v>70</v>
      </c>
    </row>
    <row r="26" spans="2:16" ht="14" x14ac:dyDescent="0.15">
      <c r="B26" s="65">
        <v>23</v>
      </c>
      <c r="C26" s="79" t="s">
        <v>73</v>
      </c>
      <c r="D26" s="67" t="s">
        <v>74</v>
      </c>
      <c r="E26" s="67" t="s">
        <v>75</v>
      </c>
      <c r="F26" s="67" t="s">
        <v>76</v>
      </c>
      <c r="G26" s="67" t="s">
        <v>203</v>
      </c>
      <c r="H26" s="66" t="s">
        <v>196</v>
      </c>
      <c r="I26" s="67" t="s">
        <v>78</v>
      </c>
      <c r="J26" s="71">
        <v>46525</v>
      </c>
      <c r="K26" s="67" t="s">
        <v>66</v>
      </c>
      <c r="L26" s="60" t="s">
        <v>215</v>
      </c>
      <c r="M26" s="72">
        <v>59.9</v>
      </c>
      <c r="N26" s="72">
        <v>19.899999999999999</v>
      </c>
      <c r="O26" s="83">
        <f t="shared" si="0"/>
        <v>40</v>
      </c>
    </row>
    <row r="27" spans="2:16" ht="14" x14ac:dyDescent="0.15">
      <c r="B27" s="65">
        <v>24</v>
      </c>
      <c r="C27" s="92" t="s">
        <v>89</v>
      </c>
      <c r="D27" s="88" t="s">
        <v>90</v>
      </c>
      <c r="E27" s="88" t="s">
        <v>91</v>
      </c>
      <c r="F27" s="88" t="s">
        <v>92</v>
      </c>
      <c r="G27" s="88" t="s">
        <v>203</v>
      </c>
      <c r="H27" s="87" t="s">
        <v>167</v>
      </c>
      <c r="I27" s="88" t="s">
        <v>93</v>
      </c>
      <c r="J27" s="106">
        <v>46232</v>
      </c>
      <c r="K27" s="88" t="s">
        <v>66</v>
      </c>
      <c r="L27" s="60" t="s">
        <v>215</v>
      </c>
      <c r="M27" s="107">
        <v>59.9</v>
      </c>
      <c r="N27" s="72">
        <v>19.899999999999999</v>
      </c>
      <c r="O27" s="110">
        <f t="shared" si="0"/>
        <v>40</v>
      </c>
    </row>
    <row r="28" spans="2:16" ht="14" x14ac:dyDescent="0.2">
      <c r="B28" s="65">
        <v>25</v>
      </c>
      <c r="C28" s="84" t="s">
        <v>106</v>
      </c>
      <c r="D28" s="67" t="s">
        <v>102</v>
      </c>
      <c r="E28" s="67" t="s">
        <v>103</v>
      </c>
      <c r="F28" s="66" t="s">
        <v>107</v>
      </c>
      <c r="G28" s="67" t="s">
        <v>203</v>
      </c>
      <c r="H28" s="66" t="s">
        <v>167</v>
      </c>
      <c r="I28" s="67" t="s">
        <v>105</v>
      </c>
      <c r="J28" s="71">
        <v>46534</v>
      </c>
      <c r="K28" s="67" t="s">
        <v>66</v>
      </c>
      <c r="L28" s="60" t="s">
        <v>215</v>
      </c>
      <c r="M28" s="72">
        <v>39.9</v>
      </c>
      <c r="N28" s="72">
        <v>19.899999999999999</v>
      </c>
      <c r="O28" s="83">
        <f t="shared" si="0"/>
        <v>20</v>
      </c>
    </row>
    <row r="29" spans="2:16" ht="14" x14ac:dyDescent="0.2">
      <c r="B29" s="65">
        <v>26</v>
      </c>
      <c r="C29" s="97" t="s">
        <v>101</v>
      </c>
      <c r="D29" s="88" t="s">
        <v>102</v>
      </c>
      <c r="E29" s="88" t="s">
        <v>103</v>
      </c>
      <c r="F29" s="87" t="s">
        <v>104</v>
      </c>
      <c r="G29" s="87" t="s">
        <v>203</v>
      </c>
      <c r="H29" s="87" t="s">
        <v>167</v>
      </c>
      <c r="I29" s="88" t="s">
        <v>105</v>
      </c>
      <c r="J29" s="88"/>
      <c r="K29" s="88" t="s">
        <v>66</v>
      </c>
      <c r="L29" s="60" t="s">
        <v>215</v>
      </c>
      <c r="M29" s="107">
        <v>39.9</v>
      </c>
      <c r="N29" s="72">
        <v>19.899999999999999</v>
      </c>
      <c r="O29" s="110">
        <f t="shared" si="0"/>
        <v>20</v>
      </c>
      <c r="P29" s="115" t="s">
        <v>220</v>
      </c>
    </row>
    <row r="31" spans="2:16" ht="14" x14ac:dyDescent="0.15">
      <c r="B31" s="62"/>
      <c r="C31" s="63" t="s">
        <v>0</v>
      </c>
      <c r="D31" s="63" t="s">
        <v>1</v>
      </c>
      <c r="E31" s="63" t="s">
        <v>2</v>
      </c>
      <c r="F31" s="63" t="s">
        <v>221</v>
      </c>
      <c r="G31" s="63" t="s">
        <v>223</v>
      </c>
      <c r="H31" s="63" t="s">
        <v>224</v>
      </c>
      <c r="I31" s="63" t="s">
        <v>8</v>
      </c>
      <c r="J31" s="63" t="s">
        <v>9</v>
      </c>
      <c r="K31" s="63" t="s">
        <v>10</v>
      </c>
      <c r="L31" s="63" t="s">
        <v>7</v>
      </c>
      <c r="N31" s="128">
        <f>SUM(O3:O29)</f>
        <v>540.6</v>
      </c>
      <c r="O31" s="128"/>
    </row>
    <row r="32" spans="2:16" ht="14" x14ac:dyDescent="0.15">
      <c r="B32" s="65">
        <v>1</v>
      </c>
      <c r="C32" s="67" t="s">
        <v>210</v>
      </c>
      <c r="D32" s="67" t="s">
        <v>211</v>
      </c>
      <c r="E32" s="67" t="s">
        <v>214</v>
      </c>
      <c r="F32" s="67" t="s">
        <v>222</v>
      </c>
      <c r="G32" s="71">
        <v>46189</v>
      </c>
      <c r="H32" s="86">
        <v>0.35416666666666669</v>
      </c>
      <c r="I32" s="72">
        <v>139.9</v>
      </c>
      <c r="J32" s="72">
        <v>50</v>
      </c>
      <c r="K32" s="72">
        <f>I32-J32</f>
        <v>89.9</v>
      </c>
      <c r="L32" s="51" t="s">
        <v>17</v>
      </c>
      <c r="M32" s="121" t="s">
        <v>241</v>
      </c>
      <c r="N32" s="128"/>
      <c r="O32" s="128"/>
    </row>
    <row r="33" spans="2:13" ht="14" x14ac:dyDescent="0.15">
      <c r="B33" s="65">
        <v>2</v>
      </c>
      <c r="C33" s="88" t="s">
        <v>226</v>
      </c>
      <c r="D33" s="116" t="s">
        <v>216</v>
      </c>
      <c r="E33" s="88" t="s">
        <v>225</v>
      </c>
      <c r="F33" s="88" t="s">
        <v>222</v>
      </c>
      <c r="G33" s="99">
        <v>46189</v>
      </c>
      <c r="H33" s="117">
        <v>0.625</v>
      </c>
      <c r="I33" s="107">
        <v>139.9</v>
      </c>
      <c r="J33" s="107">
        <v>50</v>
      </c>
      <c r="K33" s="107">
        <f t="shared" ref="K33:K37" si="2">I33-J33</f>
        <v>89.9</v>
      </c>
      <c r="L33" s="51" t="s">
        <v>17</v>
      </c>
      <c r="M33" s="121"/>
    </row>
    <row r="34" spans="2:13" ht="14" x14ac:dyDescent="0.15">
      <c r="B34" s="65">
        <v>3</v>
      </c>
      <c r="C34" s="67" t="s">
        <v>242</v>
      </c>
      <c r="D34" s="67" t="s">
        <v>243</v>
      </c>
      <c r="E34" s="67"/>
      <c r="F34" s="67"/>
      <c r="G34" s="71"/>
      <c r="H34" s="86"/>
      <c r="I34" s="72">
        <v>119.9</v>
      </c>
      <c r="J34" s="72">
        <v>50</v>
      </c>
      <c r="K34" s="72">
        <f t="shared" si="2"/>
        <v>69.900000000000006</v>
      </c>
      <c r="M34" s="121"/>
    </row>
    <row r="35" spans="2:13" ht="14" x14ac:dyDescent="0.15">
      <c r="B35" s="65">
        <v>4</v>
      </c>
      <c r="C35" s="88" t="s">
        <v>242</v>
      </c>
      <c r="D35" s="88" t="s">
        <v>244</v>
      </c>
      <c r="E35" s="88"/>
      <c r="F35" s="88"/>
      <c r="G35" s="99"/>
      <c r="H35" s="117"/>
      <c r="I35" s="107">
        <v>119.9</v>
      </c>
      <c r="J35" s="107">
        <v>50</v>
      </c>
      <c r="K35" s="107">
        <f t="shared" si="2"/>
        <v>69.900000000000006</v>
      </c>
      <c r="M35" s="121"/>
    </row>
    <row r="36" spans="2:13" ht="14" x14ac:dyDescent="0.15">
      <c r="B36" s="65">
        <v>5</v>
      </c>
      <c r="C36" s="67"/>
      <c r="D36" s="67"/>
      <c r="E36" s="67"/>
      <c r="F36" s="67"/>
      <c r="G36" s="71"/>
      <c r="H36" s="86"/>
      <c r="I36" s="86"/>
      <c r="J36" s="86"/>
      <c r="K36" s="72">
        <f t="shared" si="2"/>
        <v>0</v>
      </c>
      <c r="M36" s="121"/>
    </row>
    <row r="37" spans="2:13" ht="14" x14ac:dyDescent="0.15">
      <c r="B37" s="65">
        <v>6</v>
      </c>
      <c r="C37" s="88"/>
      <c r="D37" s="88"/>
      <c r="E37" s="88"/>
      <c r="F37" s="88"/>
      <c r="G37" s="99"/>
      <c r="H37" s="117"/>
      <c r="I37" s="117"/>
      <c r="J37" s="117"/>
      <c r="K37" s="107">
        <f t="shared" si="2"/>
        <v>0</v>
      </c>
      <c r="M37" s="121"/>
    </row>
    <row r="39" spans="2:13" x14ac:dyDescent="0.15">
      <c r="K39" s="129">
        <f>SUM(K32:K38)</f>
        <v>319.60000000000002</v>
      </c>
    </row>
    <row r="40" spans="2:13" ht="14" x14ac:dyDescent="0.15">
      <c r="F40" s="118" t="s">
        <v>200</v>
      </c>
      <c r="G40" s="119">
        <v>46091</v>
      </c>
      <c r="H40" s="127" t="s">
        <v>162</v>
      </c>
      <c r="I40" s="122">
        <v>437.8</v>
      </c>
      <c r="K40" s="129"/>
    </row>
    <row r="41" spans="2:13" ht="14" x14ac:dyDescent="0.15">
      <c r="F41" s="123" t="s">
        <v>200</v>
      </c>
      <c r="G41" s="124">
        <v>46122</v>
      </c>
      <c r="H41" s="127" t="s">
        <v>162</v>
      </c>
      <c r="I41" s="125">
        <v>437.8</v>
      </c>
    </row>
    <row r="42" spans="2:13" ht="14" x14ac:dyDescent="0.15">
      <c r="F42" s="118" t="s">
        <v>200</v>
      </c>
      <c r="G42" s="119">
        <v>46152</v>
      </c>
      <c r="H42" s="127" t="s">
        <v>162</v>
      </c>
      <c r="I42" s="122">
        <v>417.9</v>
      </c>
    </row>
    <row r="43" spans="2:13" ht="14" x14ac:dyDescent="0.15">
      <c r="F43" s="123" t="s">
        <v>200</v>
      </c>
      <c r="G43" s="124">
        <v>46183</v>
      </c>
      <c r="H43" s="127" t="s">
        <v>162</v>
      </c>
      <c r="I43" s="125">
        <v>378.1</v>
      </c>
    </row>
    <row r="44" spans="2:13" ht="14" x14ac:dyDescent="0.2">
      <c r="F44" s="120"/>
      <c r="G44" s="120"/>
      <c r="I44" s="121"/>
    </row>
    <row r="45" spans="2:13" ht="14" x14ac:dyDescent="0.15">
      <c r="F45" s="118" t="s">
        <v>201</v>
      </c>
      <c r="G45" s="119">
        <v>46101</v>
      </c>
      <c r="H45" s="127" t="s">
        <v>162</v>
      </c>
      <c r="I45" s="122">
        <v>200</v>
      </c>
    </row>
    <row r="46" spans="2:13" ht="14" x14ac:dyDescent="0.15">
      <c r="F46" s="123" t="s">
        <v>201</v>
      </c>
      <c r="G46" s="124">
        <v>46132</v>
      </c>
      <c r="H46" s="51" t="s">
        <v>17</v>
      </c>
      <c r="I46" s="125">
        <v>200</v>
      </c>
    </row>
    <row r="47" spans="2:13" ht="14" x14ac:dyDescent="0.15">
      <c r="F47" s="118" t="s">
        <v>201</v>
      </c>
      <c r="G47" s="119">
        <v>46162</v>
      </c>
      <c r="H47" s="51" t="s">
        <v>17</v>
      </c>
      <c r="I47" s="122">
        <v>200</v>
      </c>
    </row>
    <row r="48" spans="2:13" ht="14" x14ac:dyDescent="0.15">
      <c r="F48" s="123" t="s">
        <v>201</v>
      </c>
      <c r="G48" s="124">
        <v>46193</v>
      </c>
      <c r="H48" s="127" t="s">
        <v>162</v>
      </c>
      <c r="I48" s="125">
        <v>200</v>
      </c>
    </row>
    <row r="49" spans="6:9" ht="14" x14ac:dyDescent="0.2">
      <c r="F49" s="120"/>
      <c r="I49" s="121"/>
    </row>
    <row r="50" spans="6:9" ht="14" x14ac:dyDescent="0.15">
      <c r="F50" s="118" t="s">
        <v>199</v>
      </c>
      <c r="G50" s="119">
        <v>46162</v>
      </c>
      <c r="H50" s="51" t="s">
        <v>17</v>
      </c>
      <c r="I50" s="122">
        <v>150</v>
      </c>
    </row>
    <row r="51" spans="6:9" ht="14" x14ac:dyDescent="0.15">
      <c r="F51" s="123" t="s">
        <v>199</v>
      </c>
      <c r="G51" s="124">
        <v>46193</v>
      </c>
      <c r="H51" s="51" t="s">
        <v>17</v>
      </c>
      <c r="I51" s="125">
        <v>200</v>
      </c>
    </row>
  </sheetData>
  <mergeCells count="2">
    <mergeCell ref="N31:O32"/>
    <mergeCell ref="K39:K4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10-25</vt:lpstr>
      <vt:lpstr>11-25</vt:lpstr>
      <vt:lpstr>12-25</vt:lpstr>
      <vt:lpstr>01-26</vt:lpstr>
      <vt:lpstr>02-26</vt:lpstr>
      <vt:lpstr>03-26</vt:lpstr>
      <vt:lpstr>04-26</vt:lpstr>
      <vt:lpstr>05-26</vt:lpstr>
      <vt:lpstr>06-26</vt:lpstr>
      <vt:lpstr>07-26 - 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Fachini</cp:lastModifiedBy>
  <dcterms:modified xsi:type="dcterms:W3CDTF">2026-07-15T07:17:58Z</dcterms:modified>
</cp:coreProperties>
</file>